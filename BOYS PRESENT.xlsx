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5600" windowHeight="11760" activeTab="1"/>
  </bookViews>
  <sheets>
    <sheet name="OCT-NOV" sheetId="1" r:id="rId1"/>
    <sheet name="DEC-JAN" sheetId="2" r:id="rId2"/>
    <sheet name="STAFF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6" i="3" l="1"/>
  <c r="Z6" i="3"/>
  <c r="AA6" i="3"/>
  <c r="Y7" i="3"/>
  <c r="Z7" i="3"/>
  <c r="AA7" i="3"/>
  <c r="X13" i="3" l="1"/>
  <c r="W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X12" i="3"/>
  <c r="W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X11" i="3"/>
  <c r="W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AA10" i="3"/>
  <c r="Z10" i="3"/>
  <c r="Y10" i="3"/>
  <c r="AA9" i="3"/>
  <c r="Z9" i="3"/>
  <c r="Y9" i="3"/>
  <c r="AA8" i="3"/>
  <c r="Z8" i="3"/>
  <c r="Y8" i="3"/>
  <c r="X52" i="2"/>
  <c r="Y52" i="2"/>
  <c r="Z52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V53" i="2"/>
  <c r="W53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V54" i="2"/>
  <c r="W54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V55" i="2"/>
  <c r="W55" i="2"/>
  <c r="Z51" i="2" l="1"/>
  <c r="Y51" i="2"/>
  <c r="X51" i="2"/>
  <c r="Z50" i="2"/>
  <c r="Y50" i="2"/>
  <c r="X50" i="2"/>
  <c r="Z49" i="2"/>
  <c r="Y49" i="2"/>
  <c r="X49" i="2"/>
  <c r="Z48" i="2"/>
  <c r="Y48" i="2"/>
  <c r="X48" i="2"/>
  <c r="Z47" i="2"/>
  <c r="Y47" i="2"/>
  <c r="X47" i="2"/>
  <c r="Z46" i="2"/>
  <c r="Y46" i="2"/>
  <c r="X46" i="2"/>
  <c r="Z45" i="2"/>
  <c r="Y45" i="2"/>
  <c r="X45" i="2"/>
  <c r="Z44" i="2"/>
  <c r="Y44" i="2"/>
  <c r="X44" i="2"/>
  <c r="Z43" i="2"/>
  <c r="Y43" i="2"/>
  <c r="X43" i="2"/>
  <c r="Z42" i="2"/>
  <c r="Y42" i="2"/>
  <c r="X42" i="2"/>
  <c r="Z41" i="2"/>
  <c r="Y41" i="2"/>
  <c r="X41" i="2"/>
  <c r="Z40" i="2"/>
  <c r="Y40" i="2"/>
  <c r="X40" i="2"/>
  <c r="Z39" i="2"/>
  <c r="Y39" i="2"/>
  <c r="X39" i="2"/>
  <c r="Z38" i="2"/>
  <c r="Y38" i="2"/>
  <c r="X38" i="2"/>
  <c r="Z37" i="2"/>
  <c r="Y37" i="2"/>
  <c r="X37" i="2"/>
  <c r="Z36" i="2"/>
  <c r="Y36" i="2"/>
  <c r="X36" i="2"/>
  <c r="Z35" i="2"/>
  <c r="Y35" i="2"/>
  <c r="X35" i="2"/>
  <c r="Z34" i="2"/>
  <c r="Y34" i="2"/>
  <c r="X34" i="2"/>
  <c r="Z33" i="2"/>
  <c r="Y33" i="2"/>
  <c r="X33" i="2"/>
  <c r="Z32" i="2"/>
  <c r="Y32" i="2"/>
  <c r="X32" i="2"/>
  <c r="Z31" i="2"/>
  <c r="Y31" i="2"/>
  <c r="X31" i="2"/>
  <c r="Z30" i="2"/>
  <c r="Y30" i="2"/>
  <c r="X30" i="2"/>
  <c r="Z29" i="2"/>
  <c r="Y29" i="2"/>
  <c r="X29" i="2"/>
  <c r="Z28" i="2"/>
  <c r="Y28" i="2"/>
  <c r="X28" i="2"/>
  <c r="Z27" i="2"/>
  <c r="Y27" i="2"/>
  <c r="X27" i="2"/>
  <c r="Z26" i="2"/>
  <c r="Y26" i="2"/>
  <c r="X26" i="2"/>
  <c r="Z25" i="2"/>
  <c r="Y25" i="2"/>
  <c r="X25" i="2"/>
  <c r="Z24" i="2"/>
  <c r="Y24" i="2"/>
  <c r="X24" i="2"/>
  <c r="Z23" i="2"/>
  <c r="Y23" i="2"/>
  <c r="X23" i="2"/>
  <c r="Z22" i="2"/>
  <c r="Y22" i="2"/>
  <c r="X22" i="2"/>
  <c r="Z21" i="2"/>
  <c r="Y21" i="2"/>
  <c r="X21" i="2"/>
  <c r="Z20" i="2"/>
  <c r="Y20" i="2"/>
  <c r="X20" i="2"/>
  <c r="Z19" i="2"/>
  <c r="Y19" i="2"/>
  <c r="X19" i="2"/>
  <c r="Z18" i="2"/>
  <c r="Y18" i="2"/>
  <c r="X18" i="2"/>
  <c r="Z17" i="2"/>
  <c r="Y17" i="2"/>
  <c r="X17" i="2"/>
  <c r="Z16" i="2"/>
  <c r="Y16" i="2"/>
  <c r="X16" i="2"/>
  <c r="Z15" i="2"/>
  <c r="Y15" i="2"/>
  <c r="X15" i="2"/>
  <c r="Z14" i="2"/>
  <c r="Y14" i="2"/>
  <c r="X14" i="2"/>
  <c r="Z13" i="2"/>
  <c r="Y13" i="2"/>
  <c r="X13" i="2"/>
  <c r="Z12" i="2"/>
  <c r="Y12" i="2"/>
  <c r="X12" i="2"/>
  <c r="Z11" i="2"/>
  <c r="Y11" i="2"/>
  <c r="X11" i="2"/>
  <c r="Z10" i="2"/>
  <c r="Y10" i="2"/>
  <c r="X10" i="2"/>
  <c r="Z9" i="2"/>
  <c r="Y9" i="2"/>
  <c r="X9" i="2"/>
  <c r="Z8" i="2"/>
  <c r="Y8" i="2"/>
  <c r="X8" i="2"/>
  <c r="Z7" i="2"/>
  <c r="Y7" i="2"/>
  <c r="X7" i="2"/>
  <c r="Z6" i="2"/>
  <c r="Y6" i="2"/>
  <c r="X6" i="2"/>
  <c r="V50" i="1" l="1"/>
  <c r="W50" i="1"/>
  <c r="X50" i="1"/>
  <c r="V56" i="1" l="1"/>
  <c r="W56" i="1"/>
  <c r="X56" i="1"/>
  <c r="G60" i="1" l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W57" i="1"/>
  <c r="V57" i="1"/>
  <c r="F60" i="1"/>
  <c r="F59" i="1"/>
  <c r="F58" i="1"/>
  <c r="X57" i="1"/>
  <c r="V55" i="1" l="1"/>
  <c r="W55" i="1"/>
  <c r="X55" i="1"/>
  <c r="V54" i="1"/>
  <c r="W54" i="1"/>
  <c r="X54" i="1"/>
  <c r="V53" i="1"/>
  <c r="W53" i="1"/>
  <c r="X53" i="1"/>
  <c r="V52" i="1"/>
  <c r="W52" i="1"/>
  <c r="X52" i="1"/>
  <c r="V51" i="1" l="1"/>
  <c r="W51" i="1"/>
  <c r="X51" i="1"/>
  <c r="V20" i="1"/>
  <c r="W20" i="1"/>
  <c r="V40" i="1"/>
  <c r="W40" i="1"/>
  <c r="X40" i="1"/>
  <c r="X7" i="1" l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1" i="1"/>
  <c r="X42" i="1"/>
  <c r="X43" i="1"/>
  <c r="X44" i="1"/>
  <c r="X45" i="1"/>
  <c r="X46" i="1"/>
  <c r="X47" i="1"/>
  <c r="X48" i="1"/>
  <c r="X49" i="1"/>
  <c r="X6" i="1"/>
  <c r="W49" i="1" l="1"/>
  <c r="V49" i="1"/>
  <c r="V18" i="1" l="1"/>
  <c r="V19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1" i="1"/>
  <c r="V42" i="1"/>
  <c r="V43" i="1"/>
  <c r="V44" i="1"/>
  <c r="V45" i="1"/>
  <c r="V46" i="1"/>
  <c r="V47" i="1"/>
  <c r="V48" i="1"/>
  <c r="W14" i="1"/>
  <c r="W15" i="1"/>
  <c r="W16" i="1"/>
  <c r="W17" i="1"/>
  <c r="W18" i="1"/>
  <c r="W19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1" i="1"/>
  <c r="W42" i="1"/>
  <c r="W43" i="1"/>
  <c r="W44" i="1"/>
  <c r="W45" i="1"/>
  <c r="W46" i="1"/>
  <c r="W47" i="1"/>
  <c r="W48" i="1"/>
  <c r="V14" i="1"/>
  <c r="V15" i="1"/>
  <c r="V16" i="1"/>
  <c r="V17" i="1"/>
  <c r="V6" i="1"/>
  <c r="W11" i="1"/>
  <c r="W10" i="1"/>
  <c r="V7" i="1"/>
  <c r="W7" i="1"/>
  <c r="W8" i="1"/>
  <c r="W9" i="1"/>
  <c r="W12" i="1"/>
  <c r="W13" i="1"/>
  <c r="W6" i="1"/>
  <c r="V9" i="1"/>
  <c r="V10" i="1"/>
  <c r="V11" i="1"/>
  <c r="V12" i="1"/>
  <c r="V13" i="1"/>
  <c r="V8" i="1"/>
</calcChain>
</file>

<file path=xl/sharedStrings.xml><?xml version="1.0" encoding="utf-8"?>
<sst xmlns="http://schemas.openxmlformats.org/spreadsheetml/2006/main" count="1341" uniqueCount="163">
  <si>
    <t>S.NO</t>
  </si>
  <si>
    <t>NAME</t>
  </si>
  <si>
    <t>FATHER NAME</t>
  </si>
  <si>
    <t>CONTACT NO</t>
  </si>
  <si>
    <t>MONTH</t>
  </si>
  <si>
    <t>OCT</t>
  </si>
  <si>
    <t>YEAR</t>
  </si>
  <si>
    <t>ATTENDANCE SHEET</t>
  </si>
  <si>
    <t>PRESENT</t>
  </si>
  <si>
    <t>ABSENT</t>
  </si>
  <si>
    <t xml:space="preserve">WEB DEVELOPMENT </t>
  </si>
  <si>
    <t>AMEER HAMZA</t>
  </si>
  <si>
    <t>AWAIS SATTAR</t>
  </si>
  <si>
    <t>M FAHAD</t>
  </si>
  <si>
    <t>M REHAN</t>
  </si>
  <si>
    <t>KHIZAR AKRAM</t>
  </si>
  <si>
    <t>ZOHAIB ARSHAD NOOR</t>
  </si>
  <si>
    <t>ARMAN ARSHAD</t>
  </si>
  <si>
    <t>HASEEB ARSHAD</t>
  </si>
  <si>
    <t>SHOAIB ARSHAD</t>
  </si>
  <si>
    <t>ABBDULLAH TARIQ</t>
  </si>
  <si>
    <t>USMAN TAHIR</t>
  </si>
  <si>
    <t>ZAIN SIDDIQUE</t>
  </si>
  <si>
    <t>KASHAN ALI</t>
  </si>
  <si>
    <t>KHIZAR MUHAMMAD</t>
  </si>
  <si>
    <t>M ZAIN</t>
  </si>
  <si>
    <t>M FAIZAN</t>
  </si>
  <si>
    <t>MOEED ASHRAF</t>
  </si>
  <si>
    <t>QASIM ALI</t>
  </si>
  <si>
    <t>FARHAN ALI</t>
  </si>
  <si>
    <t>UMER BASHIR</t>
  </si>
  <si>
    <t>FAHAD ABDULLAH</t>
  </si>
  <si>
    <t>M SAIF</t>
  </si>
  <si>
    <t>ABDUL SAMAD</t>
  </si>
  <si>
    <t>IBTISAM HASHMI</t>
  </si>
  <si>
    <t>M HARIS</t>
  </si>
  <si>
    <t>ROHAN IQBAL</t>
  </si>
  <si>
    <t>HAMZA BASHIR</t>
  </si>
  <si>
    <t>M HASSAAN UL UMAR</t>
  </si>
  <si>
    <t>M ASAD</t>
  </si>
  <si>
    <t>FAIZAN KHAN</t>
  </si>
  <si>
    <t>M HASEEB AMJAD</t>
  </si>
  <si>
    <t>03272334186</t>
  </si>
  <si>
    <t>03074285982</t>
  </si>
  <si>
    <t>03452708456</t>
  </si>
  <si>
    <t>03059895467</t>
  </si>
  <si>
    <t>03343637728</t>
  </si>
  <si>
    <t>03710120549</t>
  </si>
  <si>
    <t>03180932465</t>
  </si>
  <si>
    <t>03113833268</t>
  </si>
  <si>
    <t>03253502764</t>
  </si>
  <si>
    <t>03080120145</t>
  </si>
  <si>
    <t>03334611057</t>
  </si>
  <si>
    <t>03325540051</t>
  </si>
  <si>
    <t>03257019330</t>
  </si>
  <si>
    <t>03160017577</t>
  </si>
  <si>
    <t>MUJTABA</t>
  </si>
  <si>
    <t>03062489439</t>
  </si>
  <si>
    <t>03032358220</t>
  </si>
  <si>
    <t>03119672235</t>
  </si>
  <si>
    <t>03351294767</t>
  </si>
  <si>
    <t>03152744883</t>
  </si>
  <si>
    <t>03132078100</t>
  </si>
  <si>
    <t>03195285316</t>
  </si>
  <si>
    <t>03332621237</t>
  </si>
  <si>
    <t>03293058891</t>
  </si>
  <si>
    <t>03232662153</t>
  </si>
  <si>
    <t>03408586628</t>
  </si>
  <si>
    <t>03132483736</t>
  </si>
  <si>
    <t>03120219979</t>
  </si>
  <si>
    <t>03220194071</t>
  </si>
  <si>
    <t>03132048558</t>
  </si>
  <si>
    <t>03017407743</t>
  </si>
  <si>
    <t>03334955882</t>
  </si>
  <si>
    <t>03429780715</t>
  </si>
  <si>
    <t>HAMMAD ALI KHAN</t>
  </si>
  <si>
    <t>P</t>
  </si>
  <si>
    <t>A</t>
  </si>
  <si>
    <t>ALI ABBAS</t>
  </si>
  <si>
    <t>LEAVE</t>
  </si>
  <si>
    <t>L</t>
  </si>
  <si>
    <t>GRAND TOTAL PRESENT</t>
  </si>
  <si>
    <t>GRAND TOTAL ABSENT</t>
  </si>
  <si>
    <t xml:space="preserve">GRAND TOTAL LEAVE </t>
  </si>
  <si>
    <t xml:space="preserve">ZX </t>
  </si>
  <si>
    <t>ABDUL MAJEED AMJAD</t>
  </si>
  <si>
    <t>ABDUL SATTAR</t>
  </si>
  <si>
    <t>03414730409</t>
  </si>
  <si>
    <t>ISHTIAQ AHMED</t>
  </si>
  <si>
    <t>HASNAIN SATTI</t>
  </si>
  <si>
    <t>ARSHAD ALI</t>
  </si>
  <si>
    <t>SHAHZAD AHMED</t>
  </si>
  <si>
    <t>JAVAID KHALID</t>
  </si>
  <si>
    <t>M ASHRAF</t>
  </si>
  <si>
    <t>M HASAAN ASHRAF</t>
  </si>
  <si>
    <t>M AKRAM</t>
  </si>
  <si>
    <t>M ARSHAD KHAN</t>
  </si>
  <si>
    <t>M ABDULLAH RIZWAN</t>
  </si>
  <si>
    <t>RIZWAN</t>
  </si>
  <si>
    <t>RASHID MEHMOOD</t>
  </si>
  <si>
    <t>TARIQ MEHMOOD</t>
  </si>
  <si>
    <t>TAHIR ANJUM</t>
  </si>
  <si>
    <t>M SIDDIQUE</t>
  </si>
  <si>
    <t>SHAKIR HUSSAIN</t>
  </si>
  <si>
    <t>MUZAMMIL NISAR</t>
  </si>
  <si>
    <t>NISAR AHMED</t>
  </si>
  <si>
    <t>ASGHAR ALI</t>
  </si>
  <si>
    <t>M HAROON</t>
  </si>
  <si>
    <t>03312371649</t>
  </si>
  <si>
    <t>M SHOAIB</t>
  </si>
  <si>
    <t>03293023402</t>
  </si>
  <si>
    <t>KHALIL AHMED</t>
  </si>
  <si>
    <t>QAISAR ABBAS</t>
  </si>
  <si>
    <t>BASHIR</t>
  </si>
  <si>
    <t>03360137289</t>
  </si>
  <si>
    <t>M HASSNAIN DANISH</t>
  </si>
  <si>
    <t>M YAQOOB</t>
  </si>
  <si>
    <t>03249665142</t>
  </si>
  <si>
    <t>MEHBOOB ALI</t>
  </si>
  <si>
    <t>ANWAR ALI KHAN</t>
  </si>
  <si>
    <t>FAIZ UR REHMAN</t>
  </si>
  <si>
    <t>BABAR IQBAL</t>
  </si>
  <si>
    <t>M BASHIR</t>
  </si>
  <si>
    <t>03222935510</t>
  </si>
  <si>
    <t>QAZI MUHAMMAD UMAR FAROOQ</t>
  </si>
  <si>
    <t>RAFAQAT ULLAH KHAN</t>
  </si>
  <si>
    <t>IFTIKHAR ALAM</t>
  </si>
  <si>
    <t>M NADEEM KHAN</t>
  </si>
  <si>
    <t>M WASAY ULLAH</t>
  </si>
  <si>
    <t>03343558151</t>
  </si>
  <si>
    <t>SAJID ALI</t>
  </si>
  <si>
    <t>03160105672</t>
  </si>
  <si>
    <t>SYED M SAKLAIN</t>
  </si>
  <si>
    <t>SAAD ALI KHAN</t>
  </si>
  <si>
    <t>M YOUNAS ANWAR</t>
  </si>
  <si>
    <t>M ANWAR</t>
  </si>
  <si>
    <t>03141322412</t>
  </si>
  <si>
    <t>ROZI KHAN</t>
  </si>
  <si>
    <t>M FAHAD RAMZAN</t>
  </si>
  <si>
    <t>M AMIN</t>
  </si>
  <si>
    <t>03188349980</t>
  </si>
  <si>
    <t>M UMAIR KHAN</t>
  </si>
  <si>
    <t>M NAUMAN ALI</t>
  </si>
  <si>
    <t>MUHAMMAD ALI</t>
  </si>
  <si>
    <t>03042442237</t>
  </si>
  <si>
    <t>UMER AWAIS</t>
  </si>
  <si>
    <t>M UMAR</t>
  </si>
  <si>
    <t>M DANISH HAYAT</t>
  </si>
  <si>
    <t>HAYAT UR RAHMAN</t>
  </si>
  <si>
    <t>03115057364</t>
  </si>
  <si>
    <t>03024249633</t>
  </si>
  <si>
    <t>03024964253</t>
  </si>
  <si>
    <t>SYED ALI ANSAR SHAH</t>
  </si>
  <si>
    <t>SHANZAIB</t>
  </si>
  <si>
    <t>MAQBOOL AHMED</t>
  </si>
  <si>
    <t>03321905316</t>
  </si>
  <si>
    <t>OWAIS JAVAID</t>
  </si>
  <si>
    <t>HABIB UL HASSAN</t>
  </si>
  <si>
    <t>ABDUL GHAFFAR</t>
  </si>
  <si>
    <t>03042103958</t>
  </si>
  <si>
    <t>M ANAS</t>
  </si>
  <si>
    <t>M SHAKEEL</t>
  </si>
  <si>
    <t>03222033277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</si>
</sst>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0"/>
      <color theme="1" tint="4.9989318521683403E-2"/>
      <name val="Arial"/>
      <family val="2"/>
    </font>
    <font>
      <sz val="11"/>
      <color theme="1" tint="4.9989318521683403E-2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B05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lightGray">
        <bgColor rgb="FF002060"/>
      </patternFill>
    </fill>
    <fill>
      <patternFill patternType="solid">
        <fgColor theme="7" tint="-0.2499465926084170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4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top"/>
    </xf>
    <xf numFmtId="0" fontId="7" fillId="0" borderId="0" xfId="0" applyFont="1"/>
    <xf numFmtId="0" fontId="9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/>
    </xf>
    <xf numFmtId="0" fontId="8" fillId="2" borderId="1" xfId="0" applyFont="1" applyFill="1" applyBorder="1"/>
    <xf numFmtId="0" fontId="8" fillId="3" borderId="1" xfId="0" applyFont="1" applyFill="1" applyBorder="1"/>
    <xf numFmtId="0" fontId="8" fillId="6" borderId="1" xfId="0" applyFont="1" applyFill="1" applyBorder="1"/>
    <xf numFmtId="0" fontId="9" fillId="0" borderId="1" xfId="0" applyFont="1" applyBorder="1" applyAlignment="1">
      <alignment horizontal="center" vertical="top"/>
    </xf>
    <xf numFmtId="49" fontId="9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 vertical="top"/>
    </xf>
    <xf numFmtId="49" fontId="10" fillId="0" borderId="1" xfId="0" applyNumberFormat="1" applyFont="1" applyBorder="1"/>
    <xf numFmtId="0" fontId="9" fillId="0" borderId="0" xfId="0" applyFont="1"/>
    <xf numFmtId="0" fontId="11" fillId="0" borderId="1" xfId="0" applyFont="1" applyBorder="1"/>
    <xf numFmtId="9" fontId="3" fillId="0" borderId="0" xfId="1" applyFont="1"/>
    <xf numFmtId="0" fontId="7" fillId="0" borderId="1" xfId="0" applyFont="1" applyBorder="1" applyAlignment="1">
      <alignment horizontal="center"/>
    </xf>
    <xf numFmtId="0" fontId="13" fillId="0" borderId="1" xfId="0" applyFont="1" applyBorder="1"/>
    <xf numFmtId="0" fontId="14" fillId="0" borderId="0" xfId="0" applyFont="1"/>
    <xf numFmtId="16" fontId="7" fillId="0" borderId="1" xfId="0" applyNumberFormat="1" applyFont="1" applyBorder="1" applyAlignment="1">
      <alignment horizontal="center"/>
    </xf>
    <xf numFmtId="0" fontId="8" fillId="6" borderId="1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Y64"/>
  <sheetViews>
    <sheetView topLeftCell="A44" zoomScale="70" zoomScaleNormal="70" workbookViewId="0">
      <selection activeCell="B2" sqref="B2:X60"/>
    </sheetView>
  </sheetViews>
  <sheetFormatPr defaultColWidth="8.85546875" defaultRowHeight="14.25" x14ac:dyDescent="0.2"/>
  <cols>
    <col min="1" max="1" width="8.85546875" style="3"/>
    <col min="2" max="2" width="7.85546875" style="5" bestFit="1" customWidth="1"/>
    <col min="3" max="3" width="27.28515625" style="3" bestFit="1" customWidth="1"/>
    <col min="4" max="4" width="28" style="3" bestFit="1" customWidth="1"/>
    <col min="5" max="5" width="16.85546875" style="3" bestFit="1" customWidth="1"/>
    <col min="6" max="6" width="3.85546875" style="3" bestFit="1" customWidth="1"/>
    <col min="7" max="16" width="4" style="3" bestFit="1" customWidth="1"/>
    <col min="17" max="21" width="3.85546875" style="3" bestFit="1" customWidth="1"/>
    <col min="22" max="22" width="10.5703125" style="3" bestFit="1" customWidth="1"/>
    <col min="23" max="23" width="9.42578125" style="3" bestFit="1" customWidth="1"/>
    <col min="24" max="24" width="9" style="3" bestFit="1" customWidth="1"/>
    <col min="25" max="25" width="17.7109375" style="3" bestFit="1" customWidth="1"/>
    <col min="26" max="16384" width="8.85546875" style="3"/>
  </cols>
  <sheetData>
    <row r="2" spans="2:25" x14ac:dyDescent="0.2">
      <c r="B2" s="1" t="s">
        <v>4</v>
      </c>
      <c r="C2" s="2" t="s">
        <v>5</v>
      </c>
      <c r="D2" s="29" t="s">
        <v>10</v>
      </c>
      <c r="E2" s="30"/>
      <c r="F2" s="27" t="s">
        <v>7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2:25" x14ac:dyDescent="0.2">
      <c r="B3" s="1" t="s">
        <v>6</v>
      </c>
      <c r="C3" s="2">
        <v>2025</v>
      </c>
      <c r="D3" s="31"/>
      <c r="E3" s="30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5" spans="2:25" s="4" customFormat="1" ht="15.75" x14ac:dyDescent="0.25">
      <c r="B5" s="10" t="s">
        <v>0</v>
      </c>
      <c r="C5" s="8" t="s">
        <v>1</v>
      </c>
      <c r="D5" s="8" t="s">
        <v>2</v>
      </c>
      <c r="E5" s="8" t="s">
        <v>3</v>
      </c>
      <c r="F5" s="8">
        <v>11</v>
      </c>
      <c r="G5" s="8">
        <v>12</v>
      </c>
      <c r="H5" s="8">
        <v>18</v>
      </c>
      <c r="I5" s="8">
        <v>19</v>
      </c>
      <c r="J5" s="8">
        <v>25</v>
      </c>
      <c r="K5" s="8">
        <v>26</v>
      </c>
      <c r="L5" s="8">
        <v>1</v>
      </c>
      <c r="M5" s="8">
        <v>2</v>
      </c>
      <c r="N5" s="8">
        <v>8</v>
      </c>
      <c r="O5" s="8">
        <v>9</v>
      </c>
      <c r="P5" s="8">
        <v>15</v>
      </c>
      <c r="Q5" s="8">
        <v>16</v>
      </c>
      <c r="R5" s="8">
        <v>22</v>
      </c>
      <c r="S5" s="8">
        <v>23</v>
      </c>
      <c r="T5" s="8">
        <v>29</v>
      </c>
      <c r="U5" s="8">
        <v>30</v>
      </c>
      <c r="V5" s="11" t="s">
        <v>8</v>
      </c>
      <c r="W5" s="12" t="s">
        <v>9</v>
      </c>
      <c r="X5" s="13" t="s">
        <v>79</v>
      </c>
    </row>
    <row r="6" spans="2:25" ht="15" x14ac:dyDescent="0.2">
      <c r="B6" s="14">
        <v>1</v>
      </c>
      <c r="C6" s="7" t="s">
        <v>41</v>
      </c>
      <c r="D6" s="7" t="s">
        <v>85</v>
      </c>
      <c r="E6" s="15" t="s">
        <v>42</v>
      </c>
      <c r="F6" s="7" t="s">
        <v>77</v>
      </c>
      <c r="G6" s="7" t="s">
        <v>76</v>
      </c>
      <c r="H6" s="7" t="s">
        <v>76</v>
      </c>
      <c r="I6" s="7" t="s">
        <v>76</v>
      </c>
      <c r="J6" s="7" t="s">
        <v>76</v>
      </c>
      <c r="K6" s="7" t="s">
        <v>76</v>
      </c>
      <c r="L6" s="7" t="s">
        <v>76</v>
      </c>
      <c r="M6" s="7" t="s">
        <v>76</v>
      </c>
      <c r="N6" s="7" t="s">
        <v>76</v>
      </c>
      <c r="O6" s="7" t="s">
        <v>76</v>
      </c>
      <c r="P6" s="7" t="s">
        <v>76</v>
      </c>
      <c r="Q6" s="7" t="s">
        <v>76</v>
      </c>
      <c r="R6" s="7" t="s">
        <v>76</v>
      </c>
      <c r="S6" s="7" t="s">
        <v>76</v>
      </c>
      <c r="T6" s="7" t="s">
        <v>76</v>
      </c>
      <c r="U6" s="7" t="s">
        <v>76</v>
      </c>
      <c r="V6" s="7">
        <f>COUNTIF(F6:U6,"P")</f>
        <v>15</v>
      </c>
      <c r="W6" s="7">
        <f>COUNTIF(F6:U6,"A")</f>
        <v>1</v>
      </c>
      <c r="X6" s="7">
        <f>COUNTIF(F6:P6,"L")</f>
        <v>0</v>
      </c>
      <c r="Y6" s="21"/>
    </row>
    <row r="7" spans="2:25" ht="15" x14ac:dyDescent="0.2">
      <c r="B7" s="14">
        <v>2</v>
      </c>
      <c r="C7" s="7" t="s">
        <v>11</v>
      </c>
      <c r="D7" s="7" t="s">
        <v>86</v>
      </c>
      <c r="E7" s="15" t="s">
        <v>87</v>
      </c>
      <c r="F7" s="7" t="s">
        <v>77</v>
      </c>
      <c r="G7" s="7" t="s">
        <v>76</v>
      </c>
      <c r="H7" s="7" t="s">
        <v>76</v>
      </c>
      <c r="I7" s="7" t="s">
        <v>76</v>
      </c>
      <c r="J7" s="7" t="s">
        <v>76</v>
      </c>
      <c r="K7" s="7" t="s">
        <v>76</v>
      </c>
      <c r="L7" s="7" t="s">
        <v>76</v>
      </c>
      <c r="M7" s="7" t="s">
        <v>76</v>
      </c>
      <c r="N7" s="7" t="s">
        <v>76</v>
      </c>
      <c r="O7" s="7" t="s">
        <v>76</v>
      </c>
      <c r="P7" s="7" t="s">
        <v>76</v>
      </c>
      <c r="Q7" s="7" t="s">
        <v>76</v>
      </c>
      <c r="R7" s="7" t="s">
        <v>76</v>
      </c>
      <c r="S7" s="7" t="s">
        <v>77</v>
      </c>
      <c r="T7" s="7" t="s">
        <v>76</v>
      </c>
      <c r="U7" s="7" t="s">
        <v>76</v>
      </c>
      <c r="V7" s="7">
        <f>COUNTIF(F7:U7,"P")</f>
        <v>14</v>
      </c>
      <c r="W7" s="7">
        <f t="shared" ref="W7:W57" si="0">COUNTIF(F7:U7,"A")</f>
        <v>2</v>
      </c>
      <c r="X7" s="7">
        <f t="shared" ref="X7:X57" si="1">COUNTIF(F7:P7,"L")</f>
        <v>0</v>
      </c>
      <c r="Y7" s="21"/>
    </row>
    <row r="8" spans="2:25" ht="15" x14ac:dyDescent="0.2">
      <c r="B8" s="14">
        <v>3</v>
      </c>
      <c r="C8" s="7" t="s">
        <v>12</v>
      </c>
      <c r="D8" s="7" t="s">
        <v>86</v>
      </c>
      <c r="E8" s="15" t="s">
        <v>43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77</v>
      </c>
      <c r="S8" s="7" t="s">
        <v>77</v>
      </c>
      <c r="T8" s="7" t="s">
        <v>77</v>
      </c>
      <c r="U8" s="7" t="s">
        <v>77</v>
      </c>
      <c r="V8" s="7">
        <f>COUNTIF(F8:U8,"P")</f>
        <v>12</v>
      </c>
      <c r="W8" s="7">
        <f t="shared" si="0"/>
        <v>4</v>
      </c>
      <c r="X8" s="7">
        <f t="shared" si="1"/>
        <v>0</v>
      </c>
      <c r="Y8" s="21"/>
    </row>
    <row r="9" spans="2:25" ht="15" x14ac:dyDescent="0.2">
      <c r="B9" s="14">
        <v>4</v>
      </c>
      <c r="C9" s="16" t="s">
        <v>89</v>
      </c>
      <c r="D9" s="7" t="s">
        <v>88</v>
      </c>
      <c r="E9" s="15" t="s">
        <v>44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77</v>
      </c>
      <c r="V9" s="7">
        <f t="shared" ref="V9:V57" si="2">COUNTIF(F9:U9,"P")</f>
        <v>15</v>
      </c>
      <c r="W9" s="7">
        <f t="shared" si="0"/>
        <v>1</v>
      </c>
      <c r="X9" s="7">
        <f t="shared" si="1"/>
        <v>0</v>
      </c>
      <c r="Y9" s="21"/>
    </row>
    <row r="10" spans="2:25" ht="15" x14ac:dyDescent="0.2">
      <c r="B10" s="14">
        <v>5</v>
      </c>
      <c r="C10" s="20" t="s">
        <v>13</v>
      </c>
      <c r="D10" s="7" t="s">
        <v>90</v>
      </c>
      <c r="E10" s="15" t="s">
        <v>45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>
        <f t="shared" si="2"/>
        <v>16</v>
      </c>
      <c r="W10" s="7">
        <f>COUNTIF(F10:U10,"A")</f>
        <v>0</v>
      </c>
      <c r="X10" s="7">
        <f t="shared" si="1"/>
        <v>0</v>
      </c>
      <c r="Y10" s="21"/>
    </row>
    <row r="11" spans="2:25" ht="15" x14ac:dyDescent="0.2">
      <c r="B11" s="14">
        <v>6</v>
      </c>
      <c r="C11" s="7" t="s">
        <v>14</v>
      </c>
      <c r="D11" s="7" t="s">
        <v>91</v>
      </c>
      <c r="E11" s="15" t="s">
        <v>46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77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>
        <f t="shared" si="2"/>
        <v>15</v>
      </c>
      <c r="W11" s="7">
        <f>COUNTIF(F11:U11,"A")</f>
        <v>1</v>
      </c>
      <c r="X11" s="7">
        <f t="shared" si="1"/>
        <v>0</v>
      </c>
      <c r="Y11" s="21"/>
    </row>
    <row r="12" spans="2:25" ht="15" x14ac:dyDescent="0.2">
      <c r="B12" s="14">
        <v>7</v>
      </c>
      <c r="C12" s="20" t="s">
        <v>156</v>
      </c>
      <c r="D12" s="7" t="s">
        <v>92</v>
      </c>
      <c r="E12" s="15" t="s">
        <v>47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>
        <f t="shared" si="2"/>
        <v>16</v>
      </c>
      <c r="W12" s="7">
        <f t="shared" si="0"/>
        <v>0</v>
      </c>
      <c r="X12" s="7">
        <f t="shared" si="1"/>
        <v>0</v>
      </c>
      <c r="Y12" s="21"/>
    </row>
    <row r="13" spans="2:25" ht="15" x14ac:dyDescent="0.2">
      <c r="B13" s="14">
        <v>8</v>
      </c>
      <c r="C13" s="20" t="s">
        <v>94</v>
      </c>
      <c r="D13" s="7" t="s">
        <v>93</v>
      </c>
      <c r="E13" s="15" t="s">
        <v>48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>
        <f t="shared" si="2"/>
        <v>16</v>
      </c>
      <c r="W13" s="7">
        <f t="shared" si="0"/>
        <v>0</v>
      </c>
      <c r="X13" s="7">
        <f t="shared" si="1"/>
        <v>0</v>
      </c>
      <c r="Y13" s="21"/>
    </row>
    <row r="14" spans="2:25" s="6" customFormat="1" ht="15" x14ac:dyDescent="0.2">
      <c r="B14" s="14">
        <v>9</v>
      </c>
      <c r="C14" s="16" t="s">
        <v>15</v>
      </c>
      <c r="D14" s="16" t="s">
        <v>95</v>
      </c>
      <c r="E14" s="18" t="s">
        <v>49</v>
      </c>
      <c r="F14" s="16" t="s">
        <v>76</v>
      </c>
      <c r="G14" s="16" t="s">
        <v>76</v>
      </c>
      <c r="H14" s="16" t="s">
        <v>76</v>
      </c>
      <c r="I14" s="16" t="s">
        <v>76</v>
      </c>
      <c r="J14" s="16" t="s">
        <v>76</v>
      </c>
      <c r="K14" s="16" t="s">
        <v>76</v>
      </c>
      <c r="L14" s="16" t="s">
        <v>76</v>
      </c>
      <c r="M14" s="16" t="s">
        <v>76</v>
      </c>
      <c r="N14" s="16" t="s">
        <v>76</v>
      </c>
      <c r="O14" s="16" t="s">
        <v>80</v>
      </c>
      <c r="P14" s="16" t="s">
        <v>80</v>
      </c>
      <c r="Q14" s="16" t="s">
        <v>76</v>
      </c>
      <c r="R14" s="16" t="s">
        <v>76</v>
      </c>
      <c r="S14" s="16" t="s">
        <v>77</v>
      </c>
      <c r="T14" s="16" t="s">
        <v>77</v>
      </c>
      <c r="U14" s="16" t="s">
        <v>76</v>
      </c>
      <c r="V14" s="16">
        <f t="shared" si="2"/>
        <v>12</v>
      </c>
      <c r="W14" s="16">
        <f t="shared" si="0"/>
        <v>2</v>
      </c>
      <c r="X14" s="16">
        <f t="shared" si="1"/>
        <v>2</v>
      </c>
      <c r="Y14" s="21"/>
    </row>
    <row r="15" spans="2:25" ht="15" x14ac:dyDescent="0.2">
      <c r="B15" s="14">
        <v>10</v>
      </c>
      <c r="C15" s="16" t="s">
        <v>16</v>
      </c>
      <c r="D15" s="7" t="s">
        <v>96</v>
      </c>
      <c r="E15" s="15" t="s">
        <v>50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>
        <f t="shared" si="2"/>
        <v>16</v>
      </c>
      <c r="W15" s="7">
        <f t="shared" si="0"/>
        <v>0</v>
      </c>
      <c r="X15" s="7">
        <f t="shared" si="1"/>
        <v>0</v>
      </c>
      <c r="Y15" s="21"/>
    </row>
    <row r="16" spans="2:25" s="6" customFormat="1" ht="15" x14ac:dyDescent="0.2">
      <c r="B16" s="14">
        <v>11</v>
      </c>
      <c r="C16" s="16" t="s">
        <v>17</v>
      </c>
      <c r="D16" s="7" t="s">
        <v>96</v>
      </c>
      <c r="E16" s="18" t="s">
        <v>51</v>
      </c>
      <c r="F16" s="16" t="s">
        <v>76</v>
      </c>
      <c r="G16" s="16" t="s">
        <v>76</v>
      </c>
      <c r="H16" s="16" t="s">
        <v>76</v>
      </c>
      <c r="I16" s="16" t="s">
        <v>76</v>
      </c>
      <c r="J16" s="16" t="s">
        <v>76</v>
      </c>
      <c r="K16" s="16" t="s">
        <v>76</v>
      </c>
      <c r="L16" s="16" t="s">
        <v>76</v>
      </c>
      <c r="M16" s="16" t="s">
        <v>76</v>
      </c>
      <c r="N16" s="16" t="s">
        <v>77</v>
      </c>
      <c r="O16" s="16" t="s">
        <v>77</v>
      </c>
      <c r="P16" s="16" t="s">
        <v>76</v>
      </c>
      <c r="Q16" s="16" t="s">
        <v>76</v>
      </c>
      <c r="R16" s="16" t="s">
        <v>77</v>
      </c>
      <c r="S16" s="16" t="s">
        <v>77</v>
      </c>
      <c r="T16" s="16" t="s">
        <v>76</v>
      </c>
      <c r="U16" s="16" t="s">
        <v>76</v>
      </c>
      <c r="V16" s="16">
        <f t="shared" si="2"/>
        <v>12</v>
      </c>
      <c r="W16" s="16">
        <f t="shared" si="0"/>
        <v>4</v>
      </c>
      <c r="X16" s="7">
        <f t="shared" si="1"/>
        <v>0</v>
      </c>
      <c r="Y16" s="21"/>
    </row>
    <row r="17" spans="2:25" ht="15" x14ac:dyDescent="0.2">
      <c r="B17" s="14">
        <v>12</v>
      </c>
      <c r="C17" s="16" t="s">
        <v>18</v>
      </c>
      <c r="D17" s="7" t="s">
        <v>96</v>
      </c>
      <c r="E17" s="15" t="s">
        <v>51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>
        <f t="shared" si="2"/>
        <v>16</v>
      </c>
      <c r="W17" s="7">
        <f t="shared" si="0"/>
        <v>0</v>
      </c>
      <c r="X17" s="7">
        <f t="shared" si="1"/>
        <v>0</v>
      </c>
      <c r="Y17" s="21"/>
    </row>
    <row r="18" spans="2:25" ht="15" x14ac:dyDescent="0.2">
      <c r="B18" s="14">
        <v>13</v>
      </c>
      <c r="C18" s="16" t="s">
        <v>19</v>
      </c>
      <c r="D18" s="7" t="s">
        <v>96</v>
      </c>
      <c r="E18" s="15" t="s">
        <v>52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77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>
        <f t="shared" si="2"/>
        <v>15</v>
      </c>
      <c r="W18" s="7">
        <f t="shared" si="0"/>
        <v>1</v>
      </c>
      <c r="X18" s="7">
        <f t="shared" si="1"/>
        <v>0</v>
      </c>
      <c r="Y18" s="21"/>
    </row>
    <row r="19" spans="2:25" s="6" customFormat="1" ht="15" x14ac:dyDescent="0.2">
      <c r="B19" s="14">
        <v>14</v>
      </c>
      <c r="C19" s="16" t="s">
        <v>97</v>
      </c>
      <c r="D19" s="16" t="s">
        <v>98</v>
      </c>
      <c r="E19" s="18" t="s">
        <v>53</v>
      </c>
      <c r="F19" s="16" t="s">
        <v>76</v>
      </c>
      <c r="G19" s="16" t="s">
        <v>76</v>
      </c>
      <c r="H19" s="16" t="s">
        <v>76</v>
      </c>
      <c r="I19" s="16" t="s">
        <v>76</v>
      </c>
      <c r="J19" s="16" t="s">
        <v>76</v>
      </c>
      <c r="K19" s="16" t="s">
        <v>76</v>
      </c>
      <c r="L19" s="16" t="s">
        <v>76</v>
      </c>
      <c r="M19" s="16" t="s">
        <v>76</v>
      </c>
      <c r="N19" s="16" t="s">
        <v>76</v>
      </c>
      <c r="O19" s="16" t="s">
        <v>77</v>
      </c>
      <c r="P19" s="16" t="s">
        <v>77</v>
      </c>
      <c r="Q19" s="16" t="s">
        <v>76</v>
      </c>
      <c r="R19" s="16" t="s">
        <v>76</v>
      </c>
      <c r="S19" s="16" t="s">
        <v>77</v>
      </c>
      <c r="T19" s="16" t="s">
        <v>77</v>
      </c>
      <c r="U19" s="16" t="s">
        <v>77</v>
      </c>
      <c r="V19" s="16">
        <f t="shared" si="2"/>
        <v>11</v>
      </c>
      <c r="W19" s="16">
        <f t="shared" si="0"/>
        <v>5</v>
      </c>
      <c r="X19" s="16">
        <f t="shared" si="1"/>
        <v>0</v>
      </c>
      <c r="Y19" s="21"/>
    </row>
    <row r="20" spans="2:25" ht="15" x14ac:dyDescent="0.2">
      <c r="B20" s="14">
        <v>15</v>
      </c>
      <c r="C20" s="16" t="s">
        <v>56</v>
      </c>
      <c r="D20" s="7" t="s">
        <v>99</v>
      </c>
      <c r="E20" s="15" t="s">
        <v>72</v>
      </c>
      <c r="F20" s="7" t="s">
        <v>77</v>
      </c>
      <c r="G20" s="7" t="s">
        <v>77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77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>
        <f t="shared" si="2"/>
        <v>13</v>
      </c>
      <c r="W20" s="7">
        <f t="shared" si="0"/>
        <v>3</v>
      </c>
      <c r="X20" s="7">
        <f t="shared" si="1"/>
        <v>0</v>
      </c>
      <c r="Y20" s="21"/>
    </row>
    <row r="21" spans="2:25" ht="15" x14ac:dyDescent="0.2">
      <c r="B21" s="14">
        <v>16</v>
      </c>
      <c r="C21" s="20" t="s">
        <v>20</v>
      </c>
      <c r="D21" s="7" t="s">
        <v>100</v>
      </c>
      <c r="E21" s="15" t="s">
        <v>54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>
        <f t="shared" si="2"/>
        <v>16</v>
      </c>
      <c r="W21" s="7">
        <f t="shared" si="0"/>
        <v>0</v>
      </c>
      <c r="X21" s="7">
        <f t="shared" si="1"/>
        <v>0</v>
      </c>
      <c r="Y21" s="21"/>
    </row>
    <row r="22" spans="2:25" ht="15" x14ac:dyDescent="0.2">
      <c r="B22" s="14">
        <v>17</v>
      </c>
      <c r="C22" s="20" t="s">
        <v>21</v>
      </c>
      <c r="D22" s="7" t="s">
        <v>101</v>
      </c>
      <c r="E22" s="15" t="s">
        <v>55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>
        <f t="shared" si="2"/>
        <v>16</v>
      </c>
      <c r="W22" s="7">
        <f t="shared" si="0"/>
        <v>0</v>
      </c>
      <c r="X22" s="7">
        <f t="shared" si="1"/>
        <v>0</v>
      </c>
      <c r="Y22" s="21"/>
    </row>
    <row r="23" spans="2:25" ht="15" x14ac:dyDescent="0.2">
      <c r="B23" s="14">
        <v>18</v>
      </c>
      <c r="C23" s="7" t="s">
        <v>22</v>
      </c>
      <c r="D23" s="7" t="s">
        <v>102</v>
      </c>
      <c r="E23" s="15" t="s">
        <v>117</v>
      </c>
      <c r="F23" s="7" t="s">
        <v>77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>
        <f t="shared" si="2"/>
        <v>15</v>
      </c>
      <c r="W23" s="7">
        <f t="shared" si="0"/>
        <v>1</v>
      </c>
      <c r="X23" s="7">
        <f t="shared" si="1"/>
        <v>0</v>
      </c>
      <c r="Y23" s="21"/>
    </row>
    <row r="24" spans="2:25" ht="15" x14ac:dyDescent="0.2">
      <c r="B24" s="14">
        <v>19</v>
      </c>
      <c r="C24" s="20" t="s">
        <v>23</v>
      </c>
      <c r="D24" s="7" t="s">
        <v>103</v>
      </c>
      <c r="E24" s="15" t="s">
        <v>57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>
        <f t="shared" si="2"/>
        <v>16</v>
      </c>
      <c r="W24" s="7">
        <f t="shared" si="0"/>
        <v>0</v>
      </c>
      <c r="X24" s="7">
        <f t="shared" si="1"/>
        <v>0</v>
      </c>
      <c r="Y24" s="21"/>
    </row>
    <row r="25" spans="2:25" ht="15" x14ac:dyDescent="0.2">
      <c r="B25" s="14">
        <v>20</v>
      </c>
      <c r="C25" s="20" t="s">
        <v>104</v>
      </c>
      <c r="D25" s="7" t="s">
        <v>105</v>
      </c>
      <c r="E25" s="15" t="s">
        <v>58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>
        <f t="shared" si="2"/>
        <v>16</v>
      </c>
      <c r="W25" s="7">
        <f t="shared" si="0"/>
        <v>0</v>
      </c>
      <c r="X25" s="7">
        <f t="shared" si="1"/>
        <v>0</v>
      </c>
      <c r="Y25" s="21"/>
    </row>
    <row r="26" spans="2:25" s="6" customFormat="1" ht="15" x14ac:dyDescent="0.2">
      <c r="B26" s="14">
        <v>21</v>
      </c>
      <c r="C26" s="16" t="s">
        <v>24</v>
      </c>
      <c r="D26" s="16" t="s">
        <v>106</v>
      </c>
      <c r="E26" s="18" t="s">
        <v>108</v>
      </c>
      <c r="F26" s="16" t="s">
        <v>77</v>
      </c>
      <c r="G26" s="16" t="s">
        <v>77</v>
      </c>
      <c r="H26" s="16" t="s">
        <v>76</v>
      </c>
      <c r="I26" s="16" t="s">
        <v>76</v>
      </c>
      <c r="J26" s="16" t="s">
        <v>76</v>
      </c>
      <c r="K26" s="16" t="s">
        <v>76</v>
      </c>
      <c r="L26" s="16" t="s">
        <v>76</v>
      </c>
      <c r="M26" s="16" t="s">
        <v>76</v>
      </c>
      <c r="N26" s="16" t="s">
        <v>76</v>
      </c>
      <c r="O26" s="16" t="s">
        <v>76</v>
      </c>
      <c r="P26" s="16" t="s">
        <v>76</v>
      </c>
      <c r="Q26" s="16" t="s">
        <v>77</v>
      </c>
      <c r="R26" s="16" t="s">
        <v>76</v>
      </c>
      <c r="S26" s="16" t="s">
        <v>76</v>
      </c>
      <c r="T26" s="16" t="s">
        <v>76</v>
      </c>
      <c r="U26" s="16" t="s">
        <v>76</v>
      </c>
      <c r="V26" s="16">
        <f t="shared" si="2"/>
        <v>13</v>
      </c>
      <c r="W26" s="16">
        <f t="shared" si="0"/>
        <v>3</v>
      </c>
      <c r="X26" s="16">
        <f t="shared" si="1"/>
        <v>0</v>
      </c>
      <c r="Y26" s="21">
        <v>0</v>
      </c>
    </row>
    <row r="27" spans="2:25" ht="15" x14ac:dyDescent="0.2">
      <c r="B27" s="14">
        <v>22</v>
      </c>
      <c r="C27" s="7" t="s">
        <v>25</v>
      </c>
      <c r="D27" s="7" t="s">
        <v>107</v>
      </c>
      <c r="E27" s="15" t="s">
        <v>59</v>
      </c>
      <c r="F27" s="7" t="s">
        <v>76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77</v>
      </c>
      <c r="S27" s="7" t="s">
        <v>76</v>
      </c>
      <c r="T27" s="7" t="s">
        <v>76</v>
      </c>
      <c r="U27" s="7" t="s">
        <v>76</v>
      </c>
      <c r="V27" s="7">
        <f t="shared" si="2"/>
        <v>15</v>
      </c>
      <c r="W27" s="7">
        <f t="shared" si="0"/>
        <v>1</v>
      </c>
      <c r="X27" s="7">
        <f t="shared" si="1"/>
        <v>0</v>
      </c>
      <c r="Y27" s="21"/>
    </row>
    <row r="28" spans="2:25" ht="15" x14ac:dyDescent="0.2">
      <c r="B28" s="14">
        <v>23</v>
      </c>
      <c r="C28" s="20" t="s">
        <v>26</v>
      </c>
      <c r="D28" s="7" t="s">
        <v>107</v>
      </c>
      <c r="E28" s="15" t="s">
        <v>60</v>
      </c>
      <c r="F28" s="7" t="s">
        <v>76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>
        <f t="shared" si="2"/>
        <v>16</v>
      </c>
      <c r="W28" s="7">
        <f t="shared" si="0"/>
        <v>0</v>
      </c>
      <c r="X28" s="7">
        <f t="shared" si="1"/>
        <v>0</v>
      </c>
      <c r="Y28" s="21"/>
    </row>
    <row r="29" spans="2:25" ht="15" x14ac:dyDescent="0.2">
      <c r="B29" s="14">
        <v>24</v>
      </c>
      <c r="C29" s="7" t="s">
        <v>141</v>
      </c>
      <c r="D29" s="7" t="s">
        <v>109</v>
      </c>
      <c r="E29" s="15" t="s">
        <v>110</v>
      </c>
      <c r="F29" s="7" t="s">
        <v>76</v>
      </c>
      <c r="G29" s="7" t="s">
        <v>76</v>
      </c>
      <c r="H29" s="7" t="s">
        <v>76</v>
      </c>
      <c r="I29" s="7" t="s">
        <v>76</v>
      </c>
      <c r="J29" s="7" t="s">
        <v>76</v>
      </c>
      <c r="K29" s="7" t="s">
        <v>76</v>
      </c>
      <c r="L29" s="7" t="s">
        <v>76</v>
      </c>
      <c r="M29" s="7" t="s">
        <v>76</v>
      </c>
      <c r="N29" s="7" t="s">
        <v>76</v>
      </c>
      <c r="O29" s="7" t="s">
        <v>76</v>
      </c>
      <c r="P29" s="7" t="s">
        <v>76</v>
      </c>
      <c r="Q29" s="7" t="s">
        <v>76</v>
      </c>
      <c r="R29" s="7" t="s">
        <v>77</v>
      </c>
      <c r="S29" s="7" t="s">
        <v>76</v>
      </c>
      <c r="T29" s="7" t="s">
        <v>76</v>
      </c>
      <c r="U29" s="7" t="s">
        <v>76</v>
      </c>
      <c r="V29" s="7">
        <f t="shared" si="2"/>
        <v>15</v>
      </c>
      <c r="W29" s="7">
        <f t="shared" si="0"/>
        <v>1</v>
      </c>
      <c r="X29" s="7">
        <f t="shared" si="1"/>
        <v>0</v>
      </c>
      <c r="Y29" s="21"/>
    </row>
    <row r="30" spans="2:25" ht="15" x14ac:dyDescent="0.2">
      <c r="B30" s="14">
        <v>25</v>
      </c>
      <c r="C30" s="7" t="s">
        <v>27</v>
      </c>
      <c r="D30" s="7" t="s">
        <v>111</v>
      </c>
      <c r="E30" s="15" t="s">
        <v>61</v>
      </c>
      <c r="F30" s="7" t="s">
        <v>77</v>
      </c>
      <c r="G30" s="7" t="s">
        <v>76</v>
      </c>
      <c r="H30" s="7" t="s">
        <v>76</v>
      </c>
      <c r="I30" s="7" t="s">
        <v>76</v>
      </c>
      <c r="J30" s="7" t="s">
        <v>76</v>
      </c>
      <c r="K30" s="7" t="s">
        <v>76</v>
      </c>
      <c r="L30" s="7" t="s">
        <v>76</v>
      </c>
      <c r="M30" s="7" t="s">
        <v>76</v>
      </c>
      <c r="N30" s="7" t="s">
        <v>76</v>
      </c>
      <c r="O30" s="7" t="s">
        <v>76</v>
      </c>
      <c r="P30" s="7" t="s">
        <v>76</v>
      </c>
      <c r="Q30" s="7" t="s">
        <v>76</v>
      </c>
      <c r="R30" s="7" t="s">
        <v>76</v>
      </c>
      <c r="S30" s="7" t="s">
        <v>76</v>
      </c>
      <c r="T30" s="7" t="s">
        <v>76</v>
      </c>
      <c r="U30" s="7" t="s">
        <v>76</v>
      </c>
      <c r="V30" s="7">
        <f t="shared" si="2"/>
        <v>15</v>
      </c>
      <c r="W30" s="7">
        <f t="shared" si="0"/>
        <v>1</v>
      </c>
      <c r="X30" s="7">
        <f t="shared" si="1"/>
        <v>0</v>
      </c>
      <c r="Y30" s="21"/>
    </row>
    <row r="31" spans="2:25" ht="15" x14ac:dyDescent="0.2">
      <c r="B31" s="14">
        <v>26</v>
      </c>
      <c r="C31" s="7" t="s">
        <v>28</v>
      </c>
      <c r="D31" s="7" t="s">
        <v>112</v>
      </c>
      <c r="E31" s="15" t="s">
        <v>62</v>
      </c>
      <c r="F31" s="7" t="s">
        <v>77</v>
      </c>
      <c r="G31" s="7" t="s">
        <v>76</v>
      </c>
      <c r="H31" s="7" t="s">
        <v>76</v>
      </c>
      <c r="I31" s="7" t="s">
        <v>76</v>
      </c>
      <c r="J31" s="7" t="s">
        <v>76</v>
      </c>
      <c r="K31" s="7" t="s">
        <v>76</v>
      </c>
      <c r="L31" s="7" t="s">
        <v>76</v>
      </c>
      <c r="M31" s="7" t="s">
        <v>76</v>
      </c>
      <c r="N31" s="7" t="s">
        <v>76</v>
      </c>
      <c r="O31" s="7" t="s">
        <v>76</v>
      </c>
      <c r="P31" s="7" t="s">
        <v>76</v>
      </c>
      <c r="Q31" s="7" t="s">
        <v>76</v>
      </c>
      <c r="R31" s="7" t="s">
        <v>76</v>
      </c>
      <c r="S31" s="7" t="s">
        <v>76</v>
      </c>
      <c r="T31" s="7" t="s">
        <v>76</v>
      </c>
      <c r="U31" s="7" t="s">
        <v>76</v>
      </c>
      <c r="V31" s="7">
        <f t="shared" si="2"/>
        <v>15</v>
      </c>
      <c r="W31" s="7">
        <f t="shared" si="0"/>
        <v>1</v>
      </c>
      <c r="X31" s="7">
        <f t="shared" si="1"/>
        <v>0</v>
      </c>
      <c r="Y31" s="21"/>
    </row>
    <row r="32" spans="2:25" ht="15" x14ac:dyDescent="0.2">
      <c r="B32" s="14">
        <v>27</v>
      </c>
      <c r="C32" s="20" t="s">
        <v>29</v>
      </c>
      <c r="D32" s="7" t="s">
        <v>103</v>
      </c>
      <c r="E32" s="15" t="s">
        <v>57</v>
      </c>
      <c r="F32" s="7" t="s">
        <v>76</v>
      </c>
      <c r="G32" s="7" t="s">
        <v>76</v>
      </c>
      <c r="H32" s="7" t="s">
        <v>76</v>
      </c>
      <c r="I32" s="7" t="s">
        <v>76</v>
      </c>
      <c r="J32" s="7" t="s">
        <v>76</v>
      </c>
      <c r="K32" s="7" t="s">
        <v>76</v>
      </c>
      <c r="L32" s="7" t="s">
        <v>76</v>
      </c>
      <c r="M32" s="7" t="s">
        <v>76</v>
      </c>
      <c r="N32" s="7" t="s">
        <v>76</v>
      </c>
      <c r="O32" s="7" t="s">
        <v>76</v>
      </c>
      <c r="P32" s="7" t="s">
        <v>76</v>
      </c>
      <c r="Q32" s="7" t="s">
        <v>76</v>
      </c>
      <c r="R32" s="7" t="s">
        <v>76</v>
      </c>
      <c r="S32" s="7" t="s">
        <v>76</v>
      </c>
      <c r="T32" s="7" t="s">
        <v>76</v>
      </c>
      <c r="U32" s="7" t="s">
        <v>76</v>
      </c>
      <c r="V32" s="7">
        <f t="shared" si="2"/>
        <v>16</v>
      </c>
      <c r="W32" s="7">
        <f t="shared" si="0"/>
        <v>0</v>
      </c>
      <c r="X32" s="7">
        <f t="shared" si="1"/>
        <v>0</v>
      </c>
      <c r="Y32" s="21"/>
    </row>
    <row r="33" spans="2:25" ht="15" x14ac:dyDescent="0.2">
      <c r="B33" s="14">
        <v>28</v>
      </c>
      <c r="C33" s="20" t="s">
        <v>30</v>
      </c>
      <c r="D33" s="7" t="s">
        <v>113</v>
      </c>
      <c r="E33" s="15" t="s">
        <v>63</v>
      </c>
      <c r="F33" s="7" t="s">
        <v>76</v>
      </c>
      <c r="G33" s="7" t="s">
        <v>76</v>
      </c>
      <c r="H33" s="7" t="s">
        <v>76</v>
      </c>
      <c r="I33" s="7" t="s">
        <v>76</v>
      </c>
      <c r="J33" s="7" t="s">
        <v>76</v>
      </c>
      <c r="K33" s="7" t="s">
        <v>76</v>
      </c>
      <c r="L33" s="7" t="s">
        <v>76</v>
      </c>
      <c r="M33" s="7" t="s">
        <v>76</v>
      </c>
      <c r="N33" s="7" t="s">
        <v>76</v>
      </c>
      <c r="O33" s="7" t="s">
        <v>76</v>
      </c>
      <c r="P33" s="7" t="s">
        <v>76</v>
      </c>
      <c r="Q33" s="7" t="s">
        <v>76</v>
      </c>
      <c r="R33" s="7" t="s">
        <v>76</v>
      </c>
      <c r="S33" s="7" t="s">
        <v>76</v>
      </c>
      <c r="T33" s="7" t="s">
        <v>76</v>
      </c>
      <c r="U33" s="7" t="s">
        <v>76</v>
      </c>
      <c r="V33" s="7">
        <f t="shared" si="2"/>
        <v>16</v>
      </c>
      <c r="W33" s="7">
        <f t="shared" si="0"/>
        <v>0</v>
      </c>
      <c r="X33" s="7">
        <f t="shared" si="1"/>
        <v>0</v>
      </c>
      <c r="Y33" s="21"/>
    </row>
    <row r="34" spans="2:25" s="6" customFormat="1" ht="15" x14ac:dyDescent="0.2">
      <c r="B34" s="14">
        <v>29</v>
      </c>
      <c r="C34" s="16" t="s">
        <v>75</v>
      </c>
      <c r="D34" s="16" t="s">
        <v>119</v>
      </c>
      <c r="E34" s="18" t="s">
        <v>114</v>
      </c>
      <c r="F34" s="16" t="s">
        <v>76</v>
      </c>
      <c r="G34" s="16" t="s">
        <v>76</v>
      </c>
      <c r="H34" s="16" t="s">
        <v>76</v>
      </c>
      <c r="I34" s="16" t="s">
        <v>76</v>
      </c>
      <c r="J34" s="16" t="s">
        <v>77</v>
      </c>
      <c r="K34" s="16" t="s">
        <v>77</v>
      </c>
      <c r="L34" s="16" t="s">
        <v>77</v>
      </c>
      <c r="M34" s="16" t="s">
        <v>77</v>
      </c>
      <c r="N34" s="16" t="s">
        <v>76</v>
      </c>
      <c r="O34" s="16" t="s">
        <v>76</v>
      </c>
      <c r="P34" s="16" t="s">
        <v>76</v>
      </c>
      <c r="Q34" s="16" t="s">
        <v>76</v>
      </c>
      <c r="R34" s="16" t="s">
        <v>76</v>
      </c>
      <c r="S34" s="16" t="s">
        <v>76</v>
      </c>
      <c r="T34" s="16" t="s">
        <v>76</v>
      </c>
      <c r="U34" s="16" t="s">
        <v>76</v>
      </c>
      <c r="V34" s="16">
        <f t="shared" si="2"/>
        <v>12</v>
      </c>
      <c r="W34" s="16">
        <f t="shared" si="0"/>
        <v>4</v>
      </c>
      <c r="X34" s="16">
        <f t="shared" si="1"/>
        <v>0</v>
      </c>
      <c r="Y34" s="21"/>
    </row>
    <row r="35" spans="2:25" ht="15" x14ac:dyDescent="0.2">
      <c r="B35" s="14">
        <v>30</v>
      </c>
      <c r="C35" s="16" t="s">
        <v>133</v>
      </c>
      <c r="D35" s="16" t="s">
        <v>119</v>
      </c>
      <c r="E35" s="15" t="s">
        <v>64</v>
      </c>
      <c r="F35" s="7" t="s">
        <v>76</v>
      </c>
      <c r="G35" s="7" t="s">
        <v>76</v>
      </c>
      <c r="H35" s="7" t="s">
        <v>76</v>
      </c>
      <c r="I35" s="7" t="s">
        <v>76</v>
      </c>
      <c r="J35" s="7" t="s">
        <v>76</v>
      </c>
      <c r="K35" s="7" t="s">
        <v>76</v>
      </c>
      <c r="L35" s="7" t="s">
        <v>76</v>
      </c>
      <c r="M35" s="7" t="s">
        <v>76</v>
      </c>
      <c r="N35" s="7" t="s">
        <v>76</v>
      </c>
      <c r="O35" s="7" t="s">
        <v>76</v>
      </c>
      <c r="P35" s="7" t="s">
        <v>76</v>
      </c>
      <c r="Q35" s="7" t="s">
        <v>76</v>
      </c>
      <c r="R35" s="7" t="s">
        <v>76</v>
      </c>
      <c r="S35" s="7" t="s">
        <v>76</v>
      </c>
      <c r="T35" s="7" t="s">
        <v>76</v>
      </c>
      <c r="U35" s="7" t="s">
        <v>77</v>
      </c>
      <c r="V35" s="7">
        <f t="shared" si="2"/>
        <v>15</v>
      </c>
      <c r="W35" s="7">
        <f t="shared" si="0"/>
        <v>1</v>
      </c>
      <c r="X35" s="7">
        <f t="shared" si="1"/>
        <v>0</v>
      </c>
      <c r="Y35" s="21"/>
    </row>
    <row r="36" spans="2:25" s="6" customFormat="1" ht="15" x14ac:dyDescent="0.2">
      <c r="B36" s="14">
        <v>31</v>
      </c>
      <c r="C36" s="16" t="s">
        <v>115</v>
      </c>
      <c r="D36" s="16" t="s">
        <v>116</v>
      </c>
      <c r="E36" s="18" t="s">
        <v>65</v>
      </c>
      <c r="F36" s="16" t="s">
        <v>76</v>
      </c>
      <c r="G36" s="16" t="s">
        <v>76</v>
      </c>
      <c r="H36" s="16" t="s">
        <v>76</v>
      </c>
      <c r="I36" s="16" t="s">
        <v>76</v>
      </c>
      <c r="J36" s="16" t="s">
        <v>76</v>
      </c>
      <c r="K36" s="16" t="s">
        <v>76</v>
      </c>
      <c r="L36" s="16" t="s">
        <v>76</v>
      </c>
      <c r="M36" s="16" t="s">
        <v>76</v>
      </c>
      <c r="N36" s="16" t="s">
        <v>80</v>
      </c>
      <c r="O36" s="16" t="s">
        <v>80</v>
      </c>
      <c r="P36" s="16" t="s">
        <v>76</v>
      </c>
      <c r="Q36" s="16" t="s">
        <v>76</v>
      </c>
      <c r="R36" s="16" t="s">
        <v>77</v>
      </c>
      <c r="S36" s="16" t="s">
        <v>77</v>
      </c>
      <c r="T36" s="16" t="s">
        <v>77</v>
      </c>
      <c r="U36" s="16" t="s">
        <v>77</v>
      </c>
      <c r="V36" s="16">
        <f t="shared" si="2"/>
        <v>10</v>
      </c>
      <c r="W36" s="16">
        <f t="shared" si="0"/>
        <v>4</v>
      </c>
      <c r="X36" s="7">
        <f t="shared" si="1"/>
        <v>2</v>
      </c>
      <c r="Y36" s="21"/>
    </row>
    <row r="37" spans="2:25" ht="15" x14ac:dyDescent="0.2">
      <c r="B37" s="14">
        <v>32</v>
      </c>
      <c r="C37" s="7" t="s">
        <v>31</v>
      </c>
      <c r="D37" s="7" t="s">
        <v>102</v>
      </c>
      <c r="E37" s="15" t="s">
        <v>117</v>
      </c>
      <c r="F37" s="7" t="s">
        <v>76</v>
      </c>
      <c r="G37" s="7" t="s">
        <v>76</v>
      </c>
      <c r="H37" s="7" t="s">
        <v>76</v>
      </c>
      <c r="I37" s="7" t="s">
        <v>76</v>
      </c>
      <c r="J37" s="7" t="s">
        <v>76</v>
      </c>
      <c r="K37" s="7" t="s">
        <v>76</v>
      </c>
      <c r="L37" s="7" t="s">
        <v>76</v>
      </c>
      <c r="M37" s="7" t="s">
        <v>76</v>
      </c>
      <c r="N37" s="7" t="s">
        <v>76</v>
      </c>
      <c r="O37" s="7" t="s">
        <v>76</v>
      </c>
      <c r="P37" s="7" t="s">
        <v>76</v>
      </c>
      <c r="Q37" s="7" t="s">
        <v>76</v>
      </c>
      <c r="R37" s="7" t="s">
        <v>76</v>
      </c>
      <c r="S37" s="7" t="s">
        <v>76</v>
      </c>
      <c r="T37" s="7" t="s">
        <v>76</v>
      </c>
      <c r="U37" s="7" t="s">
        <v>76</v>
      </c>
      <c r="V37" s="7">
        <f t="shared" si="2"/>
        <v>16</v>
      </c>
      <c r="W37" s="7">
        <f t="shared" si="0"/>
        <v>0</v>
      </c>
      <c r="X37" s="7">
        <f t="shared" si="1"/>
        <v>0</v>
      </c>
      <c r="Y37" s="21"/>
    </row>
    <row r="38" spans="2:25" s="6" customFormat="1" ht="15" x14ac:dyDescent="0.2">
      <c r="B38" s="14">
        <v>33</v>
      </c>
      <c r="C38" s="16" t="s">
        <v>32</v>
      </c>
      <c r="D38" s="16" t="s">
        <v>118</v>
      </c>
      <c r="E38" s="18" t="s">
        <v>66</v>
      </c>
      <c r="F38" s="16" t="s">
        <v>77</v>
      </c>
      <c r="G38" s="16" t="s">
        <v>77</v>
      </c>
      <c r="H38" s="16" t="s">
        <v>76</v>
      </c>
      <c r="I38" s="16" t="s">
        <v>76</v>
      </c>
      <c r="J38" s="16" t="s">
        <v>76</v>
      </c>
      <c r="K38" s="16" t="s">
        <v>76</v>
      </c>
      <c r="L38" s="16" t="s">
        <v>76</v>
      </c>
      <c r="M38" s="16" t="s">
        <v>76</v>
      </c>
      <c r="N38" s="16" t="s">
        <v>77</v>
      </c>
      <c r="O38" s="16" t="s">
        <v>76</v>
      </c>
      <c r="P38" s="16" t="s">
        <v>77</v>
      </c>
      <c r="Q38" s="16" t="s">
        <v>76</v>
      </c>
      <c r="R38" s="16" t="s">
        <v>76</v>
      </c>
      <c r="S38" s="16" t="s">
        <v>76</v>
      </c>
      <c r="T38" s="16" t="s">
        <v>77</v>
      </c>
      <c r="U38" s="16" t="s">
        <v>77</v>
      </c>
      <c r="V38" s="16">
        <f t="shared" si="2"/>
        <v>10</v>
      </c>
      <c r="W38" s="16">
        <f t="shared" si="0"/>
        <v>6</v>
      </c>
      <c r="X38" s="16">
        <f t="shared" si="1"/>
        <v>0</v>
      </c>
      <c r="Y38" s="21"/>
    </row>
    <row r="39" spans="2:25" s="6" customFormat="1" ht="15" x14ac:dyDescent="0.2">
      <c r="B39" s="17">
        <v>34</v>
      </c>
      <c r="C39" s="16" t="s">
        <v>33</v>
      </c>
      <c r="D39" s="16" t="s">
        <v>137</v>
      </c>
      <c r="E39" s="18" t="s">
        <v>67</v>
      </c>
      <c r="F39" s="16" t="s">
        <v>77</v>
      </c>
      <c r="G39" s="16" t="s">
        <v>77</v>
      </c>
      <c r="H39" s="16" t="s">
        <v>77</v>
      </c>
      <c r="I39" s="16" t="s">
        <v>77</v>
      </c>
      <c r="J39" s="16" t="s">
        <v>77</v>
      </c>
      <c r="K39" s="16" t="s">
        <v>76</v>
      </c>
      <c r="L39" s="16" t="s">
        <v>76</v>
      </c>
      <c r="M39" s="16" t="s">
        <v>76</v>
      </c>
      <c r="N39" s="16" t="s">
        <v>76</v>
      </c>
      <c r="O39" s="16" t="s">
        <v>76</v>
      </c>
      <c r="P39" s="16" t="s">
        <v>77</v>
      </c>
      <c r="Q39" s="16" t="s">
        <v>77</v>
      </c>
      <c r="R39" s="16" t="s">
        <v>76</v>
      </c>
      <c r="S39" s="16" t="s">
        <v>76</v>
      </c>
      <c r="T39" s="16" t="s">
        <v>76</v>
      </c>
      <c r="U39" s="16" t="s">
        <v>76</v>
      </c>
      <c r="V39" s="16">
        <f t="shared" si="2"/>
        <v>9</v>
      </c>
      <c r="W39" s="16">
        <f t="shared" si="0"/>
        <v>7</v>
      </c>
      <c r="X39" s="16">
        <f t="shared" si="1"/>
        <v>0</v>
      </c>
      <c r="Y39" s="21"/>
    </row>
    <row r="40" spans="2:25" ht="15" x14ac:dyDescent="0.2">
      <c r="B40" s="14">
        <v>35</v>
      </c>
      <c r="C40" s="20" t="s">
        <v>34</v>
      </c>
      <c r="D40" s="7" t="s">
        <v>120</v>
      </c>
      <c r="E40" s="15" t="s">
        <v>68</v>
      </c>
      <c r="F40" s="19" t="s">
        <v>77</v>
      </c>
      <c r="G40" s="19" t="s">
        <v>77</v>
      </c>
      <c r="H40" s="19" t="s">
        <v>77</v>
      </c>
      <c r="I40" s="19" t="s">
        <v>77</v>
      </c>
      <c r="J40" s="19" t="s">
        <v>77</v>
      </c>
      <c r="K40" s="7" t="s">
        <v>77</v>
      </c>
      <c r="L40" s="7" t="s">
        <v>77</v>
      </c>
      <c r="M40" s="7" t="s">
        <v>76</v>
      </c>
      <c r="N40" s="7" t="s">
        <v>76</v>
      </c>
      <c r="O40" s="7" t="s">
        <v>76</v>
      </c>
      <c r="P40" s="7" t="s">
        <v>76</v>
      </c>
      <c r="Q40" s="7" t="s">
        <v>76</v>
      </c>
      <c r="R40" s="7" t="s">
        <v>76</v>
      </c>
      <c r="S40" s="7" t="s">
        <v>76</v>
      </c>
      <c r="T40" s="7" t="s">
        <v>77</v>
      </c>
      <c r="U40" s="7" t="s">
        <v>76</v>
      </c>
      <c r="V40" s="7">
        <f t="shared" si="2"/>
        <v>8</v>
      </c>
      <c r="W40" s="7">
        <f t="shared" si="0"/>
        <v>8</v>
      </c>
      <c r="X40" s="7">
        <f t="shared" si="1"/>
        <v>0</v>
      </c>
      <c r="Y40" s="21"/>
    </row>
    <row r="41" spans="2:25" ht="15" x14ac:dyDescent="0.2">
      <c r="B41" s="14">
        <v>36</v>
      </c>
      <c r="C41" s="20" t="s">
        <v>35</v>
      </c>
      <c r="D41" s="7" t="s">
        <v>121</v>
      </c>
      <c r="E41" s="15" t="s">
        <v>69</v>
      </c>
      <c r="F41" s="7" t="s">
        <v>77</v>
      </c>
      <c r="G41" s="7" t="s">
        <v>77</v>
      </c>
      <c r="H41" s="7" t="s">
        <v>77</v>
      </c>
      <c r="I41" s="7" t="s">
        <v>77</v>
      </c>
      <c r="J41" s="7" t="s">
        <v>77</v>
      </c>
      <c r="K41" s="7" t="s">
        <v>76</v>
      </c>
      <c r="L41" s="7" t="s">
        <v>76</v>
      </c>
      <c r="M41" s="7" t="s">
        <v>76</v>
      </c>
      <c r="N41" s="7" t="s">
        <v>76</v>
      </c>
      <c r="O41" s="7" t="s">
        <v>76</v>
      </c>
      <c r="P41" s="7" t="s">
        <v>76</v>
      </c>
      <c r="Q41" s="7" t="s">
        <v>76</v>
      </c>
      <c r="R41" s="7" t="s">
        <v>77</v>
      </c>
      <c r="S41" s="7" t="s">
        <v>76</v>
      </c>
      <c r="T41" s="7" t="s">
        <v>76</v>
      </c>
      <c r="U41" s="7" t="s">
        <v>76</v>
      </c>
      <c r="V41" s="7">
        <f>COUNTIF(F41:U41,"P")</f>
        <v>10</v>
      </c>
      <c r="W41" s="7">
        <f>COUNTIF(F41:U41,"A")</f>
        <v>6</v>
      </c>
      <c r="X41" s="7">
        <f t="shared" si="1"/>
        <v>0</v>
      </c>
      <c r="Y41" s="21"/>
    </row>
    <row r="42" spans="2:25" s="6" customFormat="1" ht="15" x14ac:dyDescent="0.2">
      <c r="B42" s="17">
        <v>37</v>
      </c>
      <c r="C42" s="16" t="s">
        <v>36</v>
      </c>
      <c r="D42" s="16" t="s">
        <v>132</v>
      </c>
      <c r="E42" s="18" t="s">
        <v>70</v>
      </c>
      <c r="F42" s="16" t="s">
        <v>76</v>
      </c>
      <c r="G42" s="16" t="s">
        <v>76</v>
      </c>
      <c r="H42" s="16" t="s">
        <v>76</v>
      </c>
      <c r="I42" s="16" t="s">
        <v>76</v>
      </c>
      <c r="J42" s="16" t="s">
        <v>76</v>
      </c>
      <c r="K42" s="16" t="s">
        <v>76</v>
      </c>
      <c r="L42" s="16" t="s">
        <v>80</v>
      </c>
      <c r="M42" s="16" t="s">
        <v>80</v>
      </c>
      <c r="N42" s="16" t="s">
        <v>80</v>
      </c>
      <c r="O42" s="16" t="s">
        <v>80</v>
      </c>
      <c r="P42" s="16" t="s">
        <v>80</v>
      </c>
      <c r="Q42" s="16" t="s">
        <v>80</v>
      </c>
      <c r="R42" s="16" t="s">
        <v>80</v>
      </c>
      <c r="S42" s="16" t="s">
        <v>76</v>
      </c>
      <c r="T42" s="16" t="s">
        <v>76</v>
      </c>
      <c r="U42" s="16" t="s">
        <v>76</v>
      </c>
      <c r="V42" s="16">
        <f t="shared" si="2"/>
        <v>9</v>
      </c>
      <c r="W42" s="16">
        <f t="shared" si="0"/>
        <v>0</v>
      </c>
      <c r="X42" s="16">
        <f t="shared" si="1"/>
        <v>5</v>
      </c>
      <c r="Y42" s="21"/>
    </row>
    <row r="43" spans="2:25" ht="15" x14ac:dyDescent="0.2">
      <c r="B43" s="14">
        <v>38</v>
      </c>
      <c r="C43" s="20" t="s">
        <v>37</v>
      </c>
      <c r="D43" s="7" t="s">
        <v>122</v>
      </c>
      <c r="E43" s="15" t="s">
        <v>123</v>
      </c>
      <c r="F43" s="7" t="s">
        <v>76</v>
      </c>
      <c r="G43" s="7" t="s">
        <v>76</v>
      </c>
      <c r="H43" s="7" t="s">
        <v>76</v>
      </c>
      <c r="I43" s="7" t="s">
        <v>76</v>
      </c>
      <c r="J43" s="7" t="s">
        <v>76</v>
      </c>
      <c r="K43" s="7" t="s">
        <v>76</v>
      </c>
      <c r="L43" s="7" t="s">
        <v>76</v>
      </c>
      <c r="M43" s="7" t="s">
        <v>76</v>
      </c>
      <c r="N43" s="7" t="s">
        <v>76</v>
      </c>
      <c r="O43" s="7" t="s">
        <v>76</v>
      </c>
      <c r="P43" s="7" t="s">
        <v>76</v>
      </c>
      <c r="Q43" s="7" t="s">
        <v>76</v>
      </c>
      <c r="R43" s="7" t="s">
        <v>76</v>
      </c>
      <c r="S43" s="7" t="s">
        <v>76</v>
      </c>
      <c r="T43" s="7" t="s">
        <v>76</v>
      </c>
      <c r="U43" s="7" t="s">
        <v>76</v>
      </c>
      <c r="V43" s="7">
        <f t="shared" si="2"/>
        <v>16</v>
      </c>
      <c r="W43" s="7">
        <f t="shared" si="0"/>
        <v>0</v>
      </c>
      <c r="X43" s="7">
        <f t="shared" si="1"/>
        <v>0</v>
      </c>
      <c r="Y43" s="21"/>
    </row>
    <row r="44" spans="2:25" ht="15" x14ac:dyDescent="0.2">
      <c r="B44" s="14">
        <v>39</v>
      </c>
      <c r="C44" s="7" t="s">
        <v>38</v>
      </c>
      <c r="D44" s="7" t="s">
        <v>124</v>
      </c>
      <c r="E44" s="15" t="s">
        <v>71</v>
      </c>
      <c r="F44" s="7" t="s">
        <v>77</v>
      </c>
      <c r="G44" s="7" t="s">
        <v>77</v>
      </c>
      <c r="H44" s="7" t="s">
        <v>77</v>
      </c>
      <c r="I44" s="7" t="s">
        <v>77</v>
      </c>
      <c r="J44" s="7" t="s">
        <v>77</v>
      </c>
      <c r="K44" s="7" t="s">
        <v>77</v>
      </c>
      <c r="L44" s="7" t="s">
        <v>77</v>
      </c>
      <c r="M44" s="7" t="s">
        <v>77</v>
      </c>
      <c r="N44" s="7" t="s">
        <v>76</v>
      </c>
      <c r="O44" s="7" t="s">
        <v>76</v>
      </c>
      <c r="P44" s="7" t="s">
        <v>76</v>
      </c>
      <c r="Q44" s="7" t="s">
        <v>76</v>
      </c>
      <c r="R44" s="7" t="s">
        <v>77</v>
      </c>
      <c r="S44" s="7" t="s">
        <v>76</v>
      </c>
      <c r="T44" s="7" t="s">
        <v>76</v>
      </c>
      <c r="U44" s="7" t="s">
        <v>76</v>
      </c>
      <c r="V44" s="7">
        <f t="shared" si="2"/>
        <v>7</v>
      </c>
      <c r="W44" s="7">
        <f t="shared" si="0"/>
        <v>9</v>
      </c>
      <c r="X44" s="7">
        <f t="shared" si="1"/>
        <v>0</v>
      </c>
      <c r="Y44" s="21"/>
    </row>
    <row r="45" spans="2:25" ht="15" x14ac:dyDescent="0.2">
      <c r="B45" s="14">
        <v>40</v>
      </c>
      <c r="C45" s="7" t="s">
        <v>39</v>
      </c>
      <c r="D45" s="7" t="s">
        <v>125</v>
      </c>
      <c r="E45" s="15" t="s">
        <v>73</v>
      </c>
      <c r="F45" s="7" t="s">
        <v>77</v>
      </c>
      <c r="G45" s="7" t="s">
        <v>77</v>
      </c>
      <c r="H45" s="7" t="s">
        <v>77</v>
      </c>
      <c r="I45" s="7" t="s">
        <v>77</v>
      </c>
      <c r="J45" s="7" t="s">
        <v>76</v>
      </c>
      <c r="K45" s="7" t="s">
        <v>76</v>
      </c>
      <c r="L45" s="7" t="s">
        <v>76</v>
      </c>
      <c r="M45" s="7" t="s">
        <v>76</v>
      </c>
      <c r="N45" s="7" t="s">
        <v>76</v>
      </c>
      <c r="O45" s="7" t="s">
        <v>76</v>
      </c>
      <c r="P45" s="7" t="s">
        <v>76</v>
      </c>
      <c r="Q45" s="7" t="s">
        <v>76</v>
      </c>
      <c r="R45" s="7" t="s">
        <v>77</v>
      </c>
      <c r="S45" s="7" t="s">
        <v>76</v>
      </c>
      <c r="T45" s="7" t="s">
        <v>76</v>
      </c>
      <c r="U45" s="7" t="s">
        <v>76</v>
      </c>
      <c r="V45" s="7">
        <f>COUNTIF(F45:U45,"P")</f>
        <v>11</v>
      </c>
      <c r="W45" s="7">
        <f>COUNTIF(F45:U45,"A")</f>
        <v>5</v>
      </c>
      <c r="X45" s="7">
        <f t="shared" si="1"/>
        <v>0</v>
      </c>
      <c r="Y45" s="21"/>
    </row>
    <row r="46" spans="2:25" ht="15" x14ac:dyDescent="0.2">
      <c r="B46" s="14">
        <v>41</v>
      </c>
      <c r="C46" s="7" t="s">
        <v>128</v>
      </c>
      <c r="D46" s="7" t="s">
        <v>126</v>
      </c>
      <c r="E46" s="15" t="s">
        <v>129</v>
      </c>
      <c r="F46" s="7" t="s">
        <v>77</v>
      </c>
      <c r="G46" s="7" t="s">
        <v>77</v>
      </c>
      <c r="H46" s="7" t="s">
        <v>77</v>
      </c>
      <c r="I46" s="7" t="s">
        <v>77</v>
      </c>
      <c r="J46" s="7" t="s">
        <v>76</v>
      </c>
      <c r="K46" s="7" t="s">
        <v>76</v>
      </c>
      <c r="L46" s="7" t="s">
        <v>76</v>
      </c>
      <c r="M46" s="7" t="s">
        <v>76</v>
      </c>
      <c r="N46" s="7" t="s">
        <v>76</v>
      </c>
      <c r="O46" s="7" t="s">
        <v>76</v>
      </c>
      <c r="P46" s="7" t="s">
        <v>76</v>
      </c>
      <c r="Q46" s="7" t="s">
        <v>76</v>
      </c>
      <c r="R46" s="7" t="s">
        <v>77</v>
      </c>
      <c r="S46" s="7" t="s">
        <v>77</v>
      </c>
      <c r="T46" s="7" t="s">
        <v>76</v>
      </c>
      <c r="U46" s="7" t="s">
        <v>76</v>
      </c>
      <c r="V46" s="7">
        <f t="shared" si="2"/>
        <v>10</v>
      </c>
      <c r="W46" s="7">
        <f t="shared" si="0"/>
        <v>6</v>
      </c>
      <c r="X46" s="7">
        <f t="shared" si="1"/>
        <v>0</v>
      </c>
      <c r="Y46" s="21"/>
    </row>
    <row r="47" spans="2:25" ht="15" x14ac:dyDescent="0.2">
      <c r="B47" s="14">
        <v>42</v>
      </c>
      <c r="C47" s="7" t="s">
        <v>40</v>
      </c>
      <c r="D47" s="7" t="s">
        <v>127</v>
      </c>
      <c r="E47" s="15" t="s">
        <v>74</v>
      </c>
      <c r="F47" s="7" t="s">
        <v>77</v>
      </c>
      <c r="G47" s="7" t="s">
        <v>77</v>
      </c>
      <c r="H47" s="7" t="s">
        <v>77</v>
      </c>
      <c r="I47" s="7" t="s">
        <v>77</v>
      </c>
      <c r="J47" s="7" t="s">
        <v>77</v>
      </c>
      <c r="K47" s="7" t="s">
        <v>77</v>
      </c>
      <c r="L47" s="7" t="s">
        <v>77</v>
      </c>
      <c r="M47" s="7" t="s">
        <v>77</v>
      </c>
      <c r="N47" s="7" t="s">
        <v>76</v>
      </c>
      <c r="O47" s="7" t="s">
        <v>76</v>
      </c>
      <c r="P47" s="7" t="s">
        <v>76</v>
      </c>
      <c r="Q47" s="7" t="s">
        <v>76</v>
      </c>
      <c r="R47" s="7" t="s">
        <v>76</v>
      </c>
      <c r="S47" s="7" t="s">
        <v>76</v>
      </c>
      <c r="T47" s="7" t="s">
        <v>76</v>
      </c>
      <c r="U47" s="7" t="s">
        <v>76</v>
      </c>
      <c r="V47" s="7">
        <f t="shared" si="2"/>
        <v>8</v>
      </c>
      <c r="W47" s="7">
        <f t="shared" si="0"/>
        <v>8</v>
      </c>
      <c r="X47" s="7">
        <f t="shared" si="1"/>
        <v>0</v>
      </c>
      <c r="Y47" s="21"/>
    </row>
    <row r="48" spans="2:25" ht="15" x14ac:dyDescent="0.2">
      <c r="B48" s="14">
        <v>43</v>
      </c>
      <c r="C48" s="7" t="s">
        <v>134</v>
      </c>
      <c r="D48" s="7" t="s">
        <v>135</v>
      </c>
      <c r="E48" s="15" t="s">
        <v>136</v>
      </c>
      <c r="F48" s="7" t="s">
        <v>77</v>
      </c>
      <c r="G48" s="7" t="s">
        <v>77</v>
      </c>
      <c r="H48" s="7" t="s">
        <v>77</v>
      </c>
      <c r="I48" s="7" t="s">
        <v>77</v>
      </c>
      <c r="J48" s="7" t="s">
        <v>77</v>
      </c>
      <c r="K48" s="7" t="s">
        <v>77</v>
      </c>
      <c r="L48" s="7" t="s">
        <v>77</v>
      </c>
      <c r="M48" s="7" t="s">
        <v>76</v>
      </c>
      <c r="N48" s="7" t="s">
        <v>76</v>
      </c>
      <c r="O48" s="7" t="s">
        <v>76</v>
      </c>
      <c r="P48" s="7" t="s">
        <v>77</v>
      </c>
      <c r="Q48" s="7" t="s">
        <v>80</v>
      </c>
      <c r="R48" s="7" t="s">
        <v>77</v>
      </c>
      <c r="S48" s="7" t="s">
        <v>80</v>
      </c>
      <c r="T48" s="7" t="s">
        <v>76</v>
      </c>
      <c r="U48" s="7" t="s">
        <v>77</v>
      </c>
      <c r="V48" s="7">
        <f t="shared" si="2"/>
        <v>4</v>
      </c>
      <c r="W48" s="7">
        <f t="shared" si="0"/>
        <v>10</v>
      </c>
      <c r="X48" s="7">
        <f t="shared" si="1"/>
        <v>0</v>
      </c>
      <c r="Y48" s="21"/>
    </row>
    <row r="49" spans="2:25" ht="15" x14ac:dyDescent="0.2">
      <c r="B49" s="14">
        <v>44</v>
      </c>
      <c r="C49" s="7" t="s">
        <v>78</v>
      </c>
      <c r="D49" s="7" t="s">
        <v>130</v>
      </c>
      <c r="E49" s="15" t="s">
        <v>131</v>
      </c>
      <c r="F49" s="7" t="s">
        <v>77</v>
      </c>
      <c r="G49" s="7" t="s">
        <v>77</v>
      </c>
      <c r="H49" s="7" t="s">
        <v>77</v>
      </c>
      <c r="I49" s="7" t="s">
        <v>77</v>
      </c>
      <c r="J49" s="7" t="s">
        <v>77</v>
      </c>
      <c r="K49" s="7" t="s">
        <v>77</v>
      </c>
      <c r="L49" s="7" t="s">
        <v>76</v>
      </c>
      <c r="M49" s="7" t="s">
        <v>76</v>
      </c>
      <c r="N49" s="7" t="s">
        <v>76</v>
      </c>
      <c r="O49" s="7" t="s">
        <v>76</v>
      </c>
      <c r="P49" s="7" t="s">
        <v>77</v>
      </c>
      <c r="Q49" s="7" t="s">
        <v>76</v>
      </c>
      <c r="R49" s="7" t="s">
        <v>77</v>
      </c>
      <c r="S49" s="7" t="s">
        <v>77</v>
      </c>
      <c r="T49" s="7" t="s">
        <v>77</v>
      </c>
      <c r="U49" s="7" t="s">
        <v>77</v>
      </c>
      <c r="V49" s="7">
        <f t="shared" si="2"/>
        <v>5</v>
      </c>
      <c r="W49" s="7">
        <f t="shared" si="0"/>
        <v>11</v>
      </c>
      <c r="X49" s="7">
        <f t="shared" si="1"/>
        <v>0</v>
      </c>
      <c r="Y49" s="21"/>
    </row>
    <row r="50" spans="2:25" ht="15" x14ac:dyDescent="0.2">
      <c r="B50" s="14">
        <v>45</v>
      </c>
      <c r="C50" s="7" t="s">
        <v>160</v>
      </c>
      <c r="D50" s="7" t="s">
        <v>161</v>
      </c>
      <c r="E50" s="15" t="s">
        <v>162</v>
      </c>
      <c r="F50" s="7" t="s">
        <v>77</v>
      </c>
      <c r="G50" s="7" t="s">
        <v>77</v>
      </c>
      <c r="H50" s="7" t="s">
        <v>77</v>
      </c>
      <c r="I50" s="7" t="s">
        <v>77</v>
      </c>
      <c r="J50" s="7" t="s">
        <v>77</v>
      </c>
      <c r="K50" s="7" t="s">
        <v>77</v>
      </c>
      <c r="L50" s="7" t="s">
        <v>77</v>
      </c>
      <c r="M50" s="7" t="s">
        <v>77</v>
      </c>
      <c r="N50" s="7" t="s">
        <v>77</v>
      </c>
      <c r="O50" s="7" t="s">
        <v>77</v>
      </c>
      <c r="P50" s="7" t="s">
        <v>77</v>
      </c>
      <c r="Q50" s="7" t="s">
        <v>77</v>
      </c>
      <c r="R50" s="7" t="s">
        <v>77</v>
      </c>
      <c r="S50" s="7" t="s">
        <v>77</v>
      </c>
      <c r="T50" s="7" t="s">
        <v>77</v>
      </c>
      <c r="U50" s="7" t="s">
        <v>76</v>
      </c>
      <c r="V50" s="7">
        <f t="shared" si="2"/>
        <v>1</v>
      </c>
      <c r="W50" s="7">
        <f t="shared" si="0"/>
        <v>15</v>
      </c>
      <c r="X50" s="7">
        <f t="shared" si="1"/>
        <v>0</v>
      </c>
      <c r="Y50" s="21"/>
    </row>
    <row r="51" spans="2:25" ht="15" x14ac:dyDescent="0.2">
      <c r="B51" s="14">
        <v>46</v>
      </c>
      <c r="C51" s="7" t="s">
        <v>138</v>
      </c>
      <c r="D51" s="7" t="s">
        <v>139</v>
      </c>
      <c r="E51" s="15" t="s">
        <v>140</v>
      </c>
      <c r="F51" s="7" t="s">
        <v>76</v>
      </c>
      <c r="G51" s="7" t="s">
        <v>76</v>
      </c>
      <c r="H51" s="7" t="s">
        <v>76</v>
      </c>
      <c r="I51" s="7" t="s">
        <v>76</v>
      </c>
      <c r="J51" s="7" t="s">
        <v>80</v>
      </c>
      <c r="K51" s="7" t="s">
        <v>80</v>
      </c>
      <c r="L51" s="7" t="s">
        <v>80</v>
      </c>
      <c r="M51" s="7" t="s">
        <v>80</v>
      </c>
      <c r="N51" s="7" t="s">
        <v>80</v>
      </c>
      <c r="O51" s="7" t="s">
        <v>80</v>
      </c>
      <c r="P51" s="7" t="s">
        <v>80</v>
      </c>
      <c r="Q51" s="7" t="s">
        <v>76</v>
      </c>
      <c r="R51" s="7" t="s">
        <v>77</v>
      </c>
      <c r="S51" s="7" t="s">
        <v>77</v>
      </c>
      <c r="T51" s="7" t="s">
        <v>77</v>
      </c>
      <c r="U51" s="7" t="s">
        <v>77</v>
      </c>
      <c r="V51" s="7">
        <f t="shared" si="2"/>
        <v>5</v>
      </c>
      <c r="W51" s="7">
        <f t="shared" si="0"/>
        <v>4</v>
      </c>
      <c r="X51" s="7">
        <f t="shared" si="1"/>
        <v>7</v>
      </c>
      <c r="Y51" s="21"/>
    </row>
    <row r="52" spans="2:25" ht="15" x14ac:dyDescent="0.2">
      <c r="B52" s="14">
        <v>47</v>
      </c>
      <c r="C52" s="7" t="s">
        <v>142</v>
      </c>
      <c r="D52" s="7" t="s">
        <v>143</v>
      </c>
      <c r="E52" s="15" t="s">
        <v>144</v>
      </c>
      <c r="F52" s="7" t="s">
        <v>76</v>
      </c>
      <c r="G52" s="7" t="s">
        <v>76</v>
      </c>
      <c r="H52" s="7" t="s">
        <v>76</v>
      </c>
      <c r="I52" s="7" t="s">
        <v>76</v>
      </c>
      <c r="J52" s="7" t="s">
        <v>76</v>
      </c>
      <c r="K52" s="7" t="s">
        <v>76</v>
      </c>
      <c r="L52" s="7" t="s">
        <v>76</v>
      </c>
      <c r="M52" s="7" t="s">
        <v>76</v>
      </c>
      <c r="N52" s="7" t="s">
        <v>76</v>
      </c>
      <c r="O52" s="7" t="s">
        <v>76</v>
      </c>
      <c r="P52" s="7" t="s">
        <v>76</v>
      </c>
      <c r="Q52" s="7" t="s">
        <v>76</v>
      </c>
      <c r="R52" s="7" t="s">
        <v>76</v>
      </c>
      <c r="S52" s="7" t="s">
        <v>80</v>
      </c>
      <c r="T52" s="7" t="s">
        <v>76</v>
      </c>
      <c r="U52" s="7" t="s">
        <v>76</v>
      </c>
      <c r="V52" s="7">
        <f t="shared" si="2"/>
        <v>15</v>
      </c>
      <c r="W52" s="7">
        <f t="shared" si="0"/>
        <v>0</v>
      </c>
      <c r="X52" s="7">
        <f t="shared" si="1"/>
        <v>0</v>
      </c>
      <c r="Y52" s="21"/>
    </row>
    <row r="53" spans="2:25" ht="15" x14ac:dyDescent="0.2">
      <c r="B53" s="14">
        <v>48</v>
      </c>
      <c r="C53" s="7" t="s">
        <v>145</v>
      </c>
      <c r="D53" s="7" t="s">
        <v>152</v>
      </c>
      <c r="E53" s="15" t="s">
        <v>151</v>
      </c>
      <c r="F53" s="7" t="s">
        <v>76</v>
      </c>
      <c r="G53" s="7" t="s">
        <v>76</v>
      </c>
      <c r="H53" s="7" t="s">
        <v>76</v>
      </c>
      <c r="I53" s="7" t="s">
        <v>76</v>
      </c>
      <c r="J53" s="7" t="s">
        <v>76</v>
      </c>
      <c r="K53" s="7" t="s">
        <v>76</v>
      </c>
      <c r="L53" s="7" t="s">
        <v>76</v>
      </c>
      <c r="M53" s="7" t="s">
        <v>76</v>
      </c>
      <c r="N53" s="7" t="s">
        <v>80</v>
      </c>
      <c r="O53" s="7" t="s">
        <v>80</v>
      </c>
      <c r="P53" s="7" t="s">
        <v>80</v>
      </c>
      <c r="Q53" s="7" t="s">
        <v>80</v>
      </c>
      <c r="R53" s="7" t="s">
        <v>80</v>
      </c>
      <c r="S53" s="7" t="s">
        <v>80</v>
      </c>
      <c r="T53" s="7" t="s">
        <v>76</v>
      </c>
      <c r="U53" s="7" t="s">
        <v>76</v>
      </c>
      <c r="V53" s="7">
        <f t="shared" si="2"/>
        <v>10</v>
      </c>
      <c r="W53" s="7">
        <f t="shared" si="0"/>
        <v>0</v>
      </c>
      <c r="X53" s="7">
        <f t="shared" si="1"/>
        <v>3</v>
      </c>
      <c r="Y53" s="21"/>
    </row>
    <row r="54" spans="2:25" ht="15" x14ac:dyDescent="0.2">
      <c r="B54" s="14">
        <v>49</v>
      </c>
      <c r="C54" s="7" t="s">
        <v>147</v>
      </c>
      <c r="D54" s="7" t="s">
        <v>148</v>
      </c>
      <c r="E54" s="15" t="s">
        <v>149</v>
      </c>
      <c r="F54" s="7" t="s">
        <v>76</v>
      </c>
      <c r="G54" s="7" t="s">
        <v>76</v>
      </c>
      <c r="H54" s="7" t="s">
        <v>76</v>
      </c>
      <c r="I54" s="7" t="s">
        <v>76</v>
      </c>
      <c r="J54" s="7" t="s">
        <v>76</v>
      </c>
      <c r="K54" s="7" t="s">
        <v>76</v>
      </c>
      <c r="L54" s="7" t="s">
        <v>76</v>
      </c>
      <c r="M54" s="7" t="s">
        <v>76</v>
      </c>
      <c r="N54" s="7" t="s">
        <v>76</v>
      </c>
      <c r="O54" s="7" t="s">
        <v>76</v>
      </c>
      <c r="P54" s="7" t="s">
        <v>76</v>
      </c>
      <c r="Q54" s="7" t="s">
        <v>76</v>
      </c>
      <c r="R54" s="7" t="s">
        <v>80</v>
      </c>
      <c r="S54" s="7" t="s">
        <v>80</v>
      </c>
      <c r="T54" s="7" t="s">
        <v>80</v>
      </c>
      <c r="U54" s="7" t="s">
        <v>80</v>
      </c>
      <c r="V54" s="7">
        <f t="shared" si="2"/>
        <v>12</v>
      </c>
      <c r="W54" s="7">
        <f t="shared" si="0"/>
        <v>0</v>
      </c>
      <c r="X54" s="7">
        <f t="shared" si="1"/>
        <v>0</v>
      </c>
      <c r="Y54" s="21"/>
    </row>
    <row r="55" spans="2:25" ht="15" x14ac:dyDescent="0.2">
      <c r="B55" s="14">
        <v>50</v>
      </c>
      <c r="C55" s="7" t="s">
        <v>146</v>
      </c>
      <c r="D55" s="7" t="s">
        <v>139</v>
      </c>
      <c r="E55" s="15" t="s">
        <v>150</v>
      </c>
      <c r="F55" s="7" t="s">
        <v>76</v>
      </c>
      <c r="G55" s="7" t="s">
        <v>80</v>
      </c>
      <c r="H55" s="7" t="s">
        <v>80</v>
      </c>
      <c r="I55" s="7" t="s">
        <v>80</v>
      </c>
      <c r="J55" s="7" t="s">
        <v>80</v>
      </c>
      <c r="K55" s="7" t="s">
        <v>80</v>
      </c>
      <c r="L55" s="7" t="s">
        <v>76</v>
      </c>
      <c r="M55" s="7" t="s">
        <v>76</v>
      </c>
      <c r="N55" s="7" t="s">
        <v>76</v>
      </c>
      <c r="O55" s="7" t="s">
        <v>76</v>
      </c>
      <c r="P55" s="7" t="s">
        <v>76</v>
      </c>
      <c r="Q55" s="7" t="s">
        <v>76</v>
      </c>
      <c r="R55" s="7" t="s">
        <v>76</v>
      </c>
      <c r="S55" s="7" t="s">
        <v>76</v>
      </c>
      <c r="T55" s="7" t="s">
        <v>76</v>
      </c>
      <c r="U55" s="7" t="s">
        <v>76</v>
      </c>
      <c r="V55" s="7">
        <f t="shared" si="2"/>
        <v>11</v>
      </c>
      <c r="W55" s="7">
        <f t="shared" si="0"/>
        <v>0</v>
      </c>
      <c r="X55" s="7">
        <f t="shared" si="1"/>
        <v>5</v>
      </c>
      <c r="Y55" s="21"/>
    </row>
    <row r="56" spans="2:25" ht="15" x14ac:dyDescent="0.2">
      <c r="B56" s="14">
        <v>51</v>
      </c>
      <c r="C56" s="7" t="s">
        <v>157</v>
      </c>
      <c r="D56" s="7" t="s">
        <v>158</v>
      </c>
      <c r="E56" s="15" t="s">
        <v>159</v>
      </c>
      <c r="F56" s="7" t="s">
        <v>76</v>
      </c>
      <c r="G56" s="7" t="s">
        <v>76</v>
      </c>
      <c r="H56" s="7" t="s">
        <v>80</v>
      </c>
      <c r="I56" s="7" t="s">
        <v>80</v>
      </c>
      <c r="J56" s="7" t="s">
        <v>80</v>
      </c>
      <c r="K56" s="7" t="s">
        <v>76</v>
      </c>
      <c r="L56" s="7" t="s">
        <v>76</v>
      </c>
      <c r="M56" s="7" t="s">
        <v>80</v>
      </c>
      <c r="N56" s="7" t="s">
        <v>80</v>
      </c>
      <c r="O56" s="7" t="s">
        <v>80</v>
      </c>
      <c r="P56" s="7" t="s">
        <v>76</v>
      </c>
      <c r="Q56" s="7" t="s">
        <v>76</v>
      </c>
      <c r="R56" s="7" t="s">
        <v>76</v>
      </c>
      <c r="S56" s="7" t="s">
        <v>76</v>
      </c>
      <c r="T56" s="7" t="s">
        <v>76</v>
      </c>
      <c r="U56" s="7" t="s">
        <v>76</v>
      </c>
      <c r="V56" s="7">
        <f t="shared" si="2"/>
        <v>10</v>
      </c>
      <c r="W56" s="7">
        <f t="shared" si="0"/>
        <v>0</v>
      </c>
      <c r="X56" s="7">
        <f t="shared" si="1"/>
        <v>6</v>
      </c>
      <c r="Y56" s="21"/>
    </row>
    <row r="57" spans="2:25" ht="15" x14ac:dyDescent="0.2">
      <c r="B57" s="14">
        <v>52</v>
      </c>
      <c r="C57" s="7" t="s">
        <v>153</v>
      </c>
      <c r="D57" s="7" t="s">
        <v>154</v>
      </c>
      <c r="E57" s="15" t="s">
        <v>155</v>
      </c>
      <c r="F57" s="7" t="s">
        <v>76</v>
      </c>
      <c r="G57" s="7" t="s">
        <v>76</v>
      </c>
      <c r="H57" s="7" t="s">
        <v>76</v>
      </c>
      <c r="I57" s="7" t="s">
        <v>76</v>
      </c>
      <c r="J57" s="7" t="s">
        <v>76</v>
      </c>
      <c r="K57" s="7" t="s">
        <v>76</v>
      </c>
      <c r="L57" s="7" t="s">
        <v>80</v>
      </c>
      <c r="M57" s="7" t="s">
        <v>80</v>
      </c>
      <c r="N57" s="7" t="s">
        <v>80</v>
      </c>
      <c r="O57" s="7" t="s">
        <v>80</v>
      </c>
      <c r="P57" s="7" t="s">
        <v>80</v>
      </c>
      <c r="Q57" s="7" t="s">
        <v>80</v>
      </c>
      <c r="R57" s="7" t="s">
        <v>76</v>
      </c>
      <c r="S57" s="7" t="s">
        <v>76</v>
      </c>
      <c r="T57" s="7" t="s">
        <v>76</v>
      </c>
      <c r="U57" s="7" t="s">
        <v>76</v>
      </c>
      <c r="V57" s="7">
        <f t="shared" si="2"/>
        <v>10</v>
      </c>
      <c r="W57" s="7">
        <f t="shared" si="0"/>
        <v>0</v>
      </c>
      <c r="X57" s="7">
        <f t="shared" si="1"/>
        <v>5</v>
      </c>
      <c r="Y57" s="21"/>
    </row>
    <row r="58" spans="2:25" ht="15.75" x14ac:dyDescent="0.25">
      <c r="B58" s="32" t="s">
        <v>81</v>
      </c>
      <c r="C58" s="32"/>
      <c r="D58" s="7"/>
      <c r="E58" s="7"/>
      <c r="F58" s="8">
        <f>COUNTIF(F6:F57,"P")</f>
        <v>34</v>
      </c>
      <c r="G58" s="8">
        <f t="shared" ref="G58:U58" si="3">COUNTIF(G6:G57,"P")</f>
        <v>38</v>
      </c>
      <c r="H58" s="8">
        <f t="shared" si="3"/>
        <v>40</v>
      </c>
      <c r="I58" s="8">
        <f t="shared" si="3"/>
        <v>40</v>
      </c>
      <c r="J58" s="8">
        <f t="shared" si="3"/>
        <v>40</v>
      </c>
      <c r="K58" s="8">
        <f t="shared" si="3"/>
        <v>43</v>
      </c>
      <c r="L58" s="8">
        <f t="shared" si="3"/>
        <v>43</v>
      </c>
      <c r="M58" s="8">
        <f t="shared" si="3"/>
        <v>44</v>
      </c>
      <c r="N58" s="8">
        <f t="shared" si="3"/>
        <v>42</v>
      </c>
      <c r="O58" s="8">
        <f t="shared" si="3"/>
        <v>41</v>
      </c>
      <c r="P58" s="8">
        <f t="shared" si="3"/>
        <v>40</v>
      </c>
      <c r="Q58" s="8">
        <f t="shared" si="3"/>
        <v>45</v>
      </c>
      <c r="R58" s="8">
        <f t="shared" si="3"/>
        <v>36</v>
      </c>
      <c r="S58" s="8">
        <f t="shared" si="3"/>
        <v>38</v>
      </c>
      <c r="T58" s="8">
        <f t="shared" si="3"/>
        <v>42</v>
      </c>
      <c r="U58" s="8">
        <f t="shared" si="3"/>
        <v>42</v>
      </c>
      <c r="V58" s="7"/>
      <c r="W58" s="7"/>
      <c r="X58" s="7"/>
      <c r="Y58" s="21"/>
    </row>
    <row r="59" spans="2:25" ht="15.75" x14ac:dyDescent="0.2">
      <c r="B59" s="33" t="s">
        <v>82</v>
      </c>
      <c r="C59" s="33"/>
      <c r="D59" s="9"/>
      <c r="E59" s="7"/>
      <c r="F59" s="7">
        <f>COUNTIF(F6:F57,"A")</f>
        <v>18</v>
      </c>
      <c r="G59" s="7">
        <f t="shared" ref="G59:U59" si="4">COUNTIF(G6:G57,"A")</f>
        <v>13</v>
      </c>
      <c r="H59" s="7">
        <f t="shared" si="4"/>
        <v>10</v>
      </c>
      <c r="I59" s="7">
        <f t="shared" si="4"/>
        <v>10</v>
      </c>
      <c r="J59" s="7">
        <f t="shared" si="4"/>
        <v>9</v>
      </c>
      <c r="K59" s="7">
        <f t="shared" si="4"/>
        <v>7</v>
      </c>
      <c r="L59" s="7">
        <f t="shared" si="4"/>
        <v>6</v>
      </c>
      <c r="M59" s="7">
        <f t="shared" si="4"/>
        <v>4</v>
      </c>
      <c r="N59" s="7">
        <f t="shared" si="4"/>
        <v>4</v>
      </c>
      <c r="O59" s="7">
        <f t="shared" si="4"/>
        <v>4</v>
      </c>
      <c r="P59" s="7">
        <f t="shared" si="4"/>
        <v>7</v>
      </c>
      <c r="Q59" s="7">
        <f t="shared" si="4"/>
        <v>3</v>
      </c>
      <c r="R59" s="7">
        <f t="shared" si="4"/>
        <v>13</v>
      </c>
      <c r="S59" s="7">
        <f t="shared" si="4"/>
        <v>10</v>
      </c>
      <c r="T59" s="7">
        <f t="shared" si="4"/>
        <v>9</v>
      </c>
      <c r="U59" s="7">
        <f t="shared" si="4"/>
        <v>9</v>
      </c>
      <c r="V59" s="7"/>
      <c r="W59" s="7"/>
      <c r="X59" s="7"/>
      <c r="Y59" s="21"/>
    </row>
    <row r="60" spans="2:25" ht="15.75" x14ac:dyDescent="0.2">
      <c r="B60" s="26" t="s">
        <v>83</v>
      </c>
      <c r="C60" s="26"/>
      <c r="D60" s="9"/>
      <c r="E60" s="7"/>
      <c r="F60" s="7">
        <f>COUNTIF(F6:F57,"L")</f>
        <v>0</v>
      </c>
      <c r="G60" s="7">
        <f t="shared" ref="G60:U60" si="5">COUNTIF(G6:G57,"L")</f>
        <v>1</v>
      </c>
      <c r="H60" s="7">
        <f t="shared" si="5"/>
        <v>2</v>
      </c>
      <c r="I60" s="7">
        <f t="shared" si="5"/>
        <v>2</v>
      </c>
      <c r="J60" s="7">
        <f t="shared" si="5"/>
        <v>3</v>
      </c>
      <c r="K60" s="7">
        <f t="shared" si="5"/>
        <v>2</v>
      </c>
      <c r="L60" s="7">
        <f t="shared" si="5"/>
        <v>3</v>
      </c>
      <c r="M60" s="7">
        <f t="shared" si="5"/>
        <v>4</v>
      </c>
      <c r="N60" s="7">
        <f t="shared" si="5"/>
        <v>6</v>
      </c>
      <c r="O60" s="7">
        <f t="shared" si="5"/>
        <v>7</v>
      </c>
      <c r="P60" s="7">
        <f t="shared" si="5"/>
        <v>5</v>
      </c>
      <c r="Q60" s="7">
        <f t="shared" si="5"/>
        <v>4</v>
      </c>
      <c r="R60" s="7">
        <f t="shared" si="5"/>
        <v>3</v>
      </c>
      <c r="S60" s="7">
        <f t="shared" si="5"/>
        <v>4</v>
      </c>
      <c r="T60" s="7">
        <f t="shared" si="5"/>
        <v>1</v>
      </c>
      <c r="U60" s="7">
        <f t="shared" si="5"/>
        <v>1</v>
      </c>
      <c r="V60" s="7"/>
      <c r="W60" s="7"/>
      <c r="X60" s="7"/>
      <c r="Y60" s="21"/>
    </row>
    <row r="64" spans="2:25" x14ac:dyDescent="0.2">
      <c r="S64" s="3" t="s">
        <v>84</v>
      </c>
    </row>
  </sheetData>
  <mergeCells count="5">
    <mergeCell ref="B60:C60"/>
    <mergeCell ref="F2:U3"/>
    <mergeCell ref="D2:E3"/>
    <mergeCell ref="B58:C58"/>
    <mergeCell ref="B59:C59"/>
  </mergeCells>
  <pageMargins left="0.7" right="0.7" top="0.75" bottom="0.75" header="0.3" footer="0.3"/>
  <pageSetup scale="77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55"/>
  <sheetViews>
    <sheetView tabSelected="1" topLeftCell="A29" zoomScale="85" zoomScaleNormal="85" workbookViewId="0">
      <selection activeCell="H43" sqref="H43"/>
    </sheetView>
  </sheetViews>
  <sheetFormatPr defaultRowHeight="15" x14ac:dyDescent="0.25"/>
  <cols>
    <col min="3" max="3" width="27.7109375" style="24" bestFit="1" customWidth="1"/>
    <col min="4" max="4" width="38.85546875" hidden="1" customWidth="1"/>
    <col min="5" max="5" width="16.7109375" hidden="1" customWidth="1"/>
    <col min="6" max="13" width="3.85546875" bestFit="1" customWidth="1"/>
    <col min="14" max="15" width="2.5703125" bestFit="1" customWidth="1"/>
    <col min="16" max="22" width="3.85546875" bestFit="1" customWidth="1"/>
    <col min="23" max="23" width="2.5703125" bestFit="1" customWidth="1"/>
  </cols>
  <sheetData>
    <row r="2" spans="2:26" x14ac:dyDescent="0.25">
      <c r="B2" s="1" t="s">
        <v>4</v>
      </c>
      <c r="C2" s="25">
        <v>45941</v>
      </c>
      <c r="D2" s="29" t="s">
        <v>10</v>
      </c>
      <c r="E2" s="30"/>
      <c r="F2" s="27" t="s">
        <v>7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3"/>
      <c r="Y2" s="3"/>
      <c r="Z2" s="3"/>
    </row>
    <row r="3" spans="2:26" x14ac:dyDescent="0.25">
      <c r="B3" s="1" t="s">
        <v>6</v>
      </c>
      <c r="C3" s="22">
        <v>2025</v>
      </c>
      <c r="D3" s="31"/>
      <c r="E3" s="30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3"/>
      <c r="Y3" s="3"/>
      <c r="Z3" s="3"/>
    </row>
    <row r="4" spans="2:26" x14ac:dyDescent="0.25">
      <c r="B4" s="5"/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2:26" ht="15.75" x14ac:dyDescent="0.25">
      <c r="B5" s="10" t="s">
        <v>0</v>
      </c>
      <c r="C5" s="23" t="s">
        <v>1</v>
      </c>
      <c r="D5" s="8" t="s">
        <v>2</v>
      </c>
      <c r="E5" s="8" t="s">
        <v>3</v>
      </c>
      <c r="F5" s="8">
        <v>6</v>
      </c>
      <c r="G5" s="8">
        <v>7</v>
      </c>
      <c r="H5" s="8">
        <v>13</v>
      </c>
      <c r="I5" s="8">
        <v>14</v>
      </c>
      <c r="J5" s="8">
        <v>20</v>
      </c>
      <c r="K5" s="8">
        <v>21</v>
      </c>
      <c r="L5" s="8">
        <v>27</v>
      </c>
      <c r="M5" s="8">
        <v>28</v>
      </c>
      <c r="N5" s="8">
        <v>3</v>
      </c>
      <c r="O5" s="8">
        <v>4</v>
      </c>
      <c r="P5" s="8">
        <v>10</v>
      </c>
      <c r="Q5" s="8">
        <v>11</v>
      </c>
      <c r="R5" s="8">
        <v>17</v>
      </c>
      <c r="S5" s="8">
        <v>18</v>
      </c>
      <c r="T5" s="8">
        <v>24</v>
      </c>
      <c r="U5" s="8">
        <v>25</v>
      </c>
      <c r="V5" s="8">
        <v>31</v>
      </c>
      <c r="W5" s="8">
        <v>1</v>
      </c>
      <c r="X5" s="11" t="s">
        <v>8</v>
      </c>
      <c r="Y5" s="12" t="s">
        <v>9</v>
      </c>
      <c r="Z5" s="13" t="s">
        <v>79</v>
      </c>
    </row>
    <row r="6" spans="2:26" ht="15.75" x14ac:dyDescent="0.25">
      <c r="B6" s="14">
        <v>1</v>
      </c>
      <c r="C6" s="16" t="s">
        <v>41</v>
      </c>
      <c r="D6" s="7" t="s">
        <v>85</v>
      </c>
      <c r="E6" s="15" t="s">
        <v>42</v>
      </c>
      <c r="F6" s="7" t="s">
        <v>77</v>
      </c>
      <c r="G6" s="7" t="s">
        <v>76</v>
      </c>
      <c r="H6" s="7" t="s">
        <v>77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>
        <f t="shared" ref="X6:X52" si="0">COUNTIF(F6:W6,"P")</f>
        <v>1</v>
      </c>
      <c r="Y6" s="7">
        <f t="shared" ref="Y6:Y52" si="1">COUNTIF(F6:W6,"A")</f>
        <v>2</v>
      </c>
      <c r="Z6" s="7">
        <f t="shared" ref="Z6:Z52" si="2">COUNTIF(F6:P6,"L")</f>
        <v>0</v>
      </c>
    </row>
    <row r="7" spans="2:26" ht="15.75" x14ac:dyDescent="0.25">
      <c r="B7" s="14">
        <v>2</v>
      </c>
      <c r="C7" s="16" t="s">
        <v>11</v>
      </c>
      <c r="D7" s="7" t="s">
        <v>86</v>
      </c>
      <c r="E7" s="15" t="s">
        <v>87</v>
      </c>
      <c r="F7" s="7" t="s">
        <v>77</v>
      </c>
      <c r="G7" s="7" t="s">
        <v>76</v>
      </c>
      <c r="H7" s="7" t="s">
        <v>77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>
        <f t="shared" si="0"/>
        <v>1</v>
      </c>
      <c r="Y7" s="7">
        <f t="shared" si="1"/>
        <v>2</v>
      </c>
      <c r="Z7" s="7">
        <f t="shared" si="2"/>
        <v>0</v>
      </c>
    </row>
    <row r="8" spans="2:26" ht="15.75" x14ac:dyDescent="0.25">
      <c r="B8" s="14">
        <v>3</v>
      </c>
      <c r="C8" s="16" t="s">
        <v>12</v>
      </c>
      <c r="D8" s="7" t="s">
        <v>86</v>
      </c>
      <c r="E8" s="15" t="s">
        <v>43</v>
      </c>
      <c r="F8" s="7" t="s">
        <v>77</v>
      </c>
      <c r="G8" s="7" t="s">
        <v>77</v>
      </c>
      <c r="H8" s="7" t="s">
        <v>77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>
        <f t="shared" si="0"/>
        <v>0</v>
      </c>
      <c r="Y8" s="7">
        <f t="shared" si="1"/>
        <v>3</v>
      </c>
      <c r="Z8" s="7">
        <f t="shared" si="2"/>
        <v>0</v>
      </c>
    </row>
    <row r="9" spans="2:26" ht="15.75" x14ac:dyDescent="0.25">
      <c r="B9" s="14">
        <v>4</v>
      </c>
      <c r="C9" s="16" t="s">
        <v>89</v>
      </c>
      <c r="D9" s="7" t="s">
        <v>88</v>
      </c>
      <c r="E9" s="15" t="s">
        <v>44</v>
      </c>
      <c r="F9" s="7" t="s">
        <v>76</v>
      </c>
      <c r="G9" s="7" t="s">
        <v>76</v>
      </c>
      <c r="H9" s="7" t="s">
        <v>76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>
        <f t="shared" si="0"/>
        <v>3</v>
      </c>
      <c r="Y9" s="7">
        <f t="shared" si="1"/>
        <v>0</v>
      </c>
      <c r="Z9" s="7">
        <f t="shared" si="2"/>
        <v>0</v>
      </c>
    </row>
    <row r="10" spans="2:26" ht="15.75" x14ac:dyDescent="0.25">
      <c r="B10" s="14">
        <v>5</v>
      </c>
      <c r="C10" s="16" t="s">
        <v>13</v>
      </c>
      <c r="D10" s="7" t="s">
        <v>90</v>
      </c>
      <c r="E10" s="15" t="s">
        <v>45</v>
      </c>
      <c r="F10" s="7" t="s">
        <v>76</v>
      </c>
      <c r="G10" s="7" t="s">
        <v>76</v>
      </c>
      <c r="H10" s="7" t="s">
        <v>76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>
        <f t="shared" si="0"/>
        <v>3</v>
      </c>
      <c r="Y10" s="7">
        <f t="shared" si="1"/>
        <v>0</v>
      </c>
      <c r="Z10" s="7">
        <f t="shared" si="2"/>
        <v>0</v>
      </c>
    </row>
    <row r="11" spans="2:26" ht="15.75" x14ac:dyDescent="0.25">
      <c r="B11" s="14">
        <v>6</v>
      </c>
      <c r="C11" s="16" t="s">
        <v>14</v>
      </c>
      <c r="D11" s="7" t="s">
        <v>91</v>
      </c>
      <c r="E11" s="15" t="s">
        <v>46</v>
      </c>
      <c r="F11" s="7" t="s">
        <v>76</v>
      </c>
      <c r="G11" s="7" t="s">
        <v>76</v>
      </c>
      <c r="H11" s="7" t="s">
        <v>76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f t="shared" si="0"/>
        <v>3</v>
      </c>
      <c r="Y11" s="7">
        <f t="shared" si="1"/>
        <v>0</v>
      </c>
      <c r="Z11" s="7">
        <f t="shared" si="2"/>
        <v>0</v>
      </c>
    </row>
    <row r="12" spans="2:26" ht="15.75" x14ac:dyDescent="0.25">
      <c r="B12" s="14">
        <v>7</v>
      </c>
      <c r="C12" s="16" t="s">
        <v>156</v>
      </c>
      <c r="D12" s="7" t="s">
        <v>92</v>
      </c>
      <c r="E12" s="15" t="s">
        <v>47</v>
      </c>
      <c r="F12" s="7" t="s">
        <v>76</v>
      </c>
      <c r="G12" s="7" t="s">
        <v>76</v>
      </c>
      <c r="H12" s="7" t="s">
        <v>76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>
        <f t="shared" si="0"/>
        <v>3</v>
      </c>
      <c r="Y12" s="7">
        <f t="shared" si="1"/>
        <v>0</v>
      </c>
      <c r="Z12" s="7">
        <f t="shared" si="2"/>
        <v>0</v>
      </c>
    </row>
    <row r="13" spans="2:26" ht="15.75" x14ac:dyDescent="0.25">
      <c r="B13" s="14">
        <v>8</v>
      </c>
      <c r="C13" s="16" t="s">
        <v>94</v>
      </c>
      <c r="D13" s="7" t="s">
        <v>93</v>
      </c>
      <c r="E13" s="15" t="s">
        <v>48</v>
      </c>
      <c r="F13" s="7" t="s">
        <v>76</v>
      </c>
      <c r="G13" s="7" t="s">
        <v>76</v>
      </c>
      <c r="H13" s="7" t="s">
        <v>76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>
        <f t="shared" si="0"/>
        <v>3</v>
      </c>
      <c r="Y13" s="7">
        <f t="shared" si="1"/>
        <v>0</v>
      </c>
      <c r="Z13" s="7">
        <f t="shared" si="2"/>
        <v>0</v>
      </c>
    </row>
    <row r="14" spans="2:26" ht="15.75" x14ac:dyDescent="0.25">
      <c r="B14" s="14">
        <v>9</v>
      </c>
      <c r="C14" s="16" t="s">
        <v>15</v>
      </c>
      <c r="D14" s="16" t="s">
        <v>95</v>
      </c>
      <c r="E14" s="18" t="s">
        <v>49</v>
      </c>
      <c r="F14" s="16" t="s">
        <v>80</v>
      </c>
      <c r="G14" s="16" t="s">
        <v>76</v>
      </c>
      <c r="H14" s="16" t="s">
        <v>77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>
        <f t="shared" si="0"/>
        <v>1</v>
      </c>
      <c r="Y14" s="16">
        <f t="shared" si="1"/>
        <v>1</v>
      </c>
      <c r="Z14" s="16">
        <f t="shared" si="2"/>
        <v>1</v>
      </c>
    </row>
    <row r="15" spans="2:26" ht="15.75" x14ac:dyDescent="0.25">
      <c r="B15" s="14">
        <v>10</v>
      </c>
      <c r="C15" s="16" t="s">
        <v>16</v>
      </c>
      <c r="D15" s="7" t="s">
        <v>96</v>
      </c>
      <c r="E15" s="15" t="s">
        <v>50</v>
      </c>
      <c r="F15" s="7" t="s">
        <v>76</v>
      </c>
      <c r="G15" s="7" t="s">
        <v>76</v>
      </c>
      <c r="H15" s="7" t="s">
        <v>77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>
        <f t="shared" si="0"/>
        <v>2</v>
      </c>
      <c r="Y15" s="7">
        <f t="shared" si="1"/>
        <v>1</v>
      </c>
      <c r="Z15" s="7">
        <f t="shared" si="2"/>
        <v>0</v>
      </c>
    </row>
    <row r="16" spans="2:26" ht="15.75" x14ac:dyDescent="0.25">
      <c r="B16" s="14">
        <v>11</v>
      </c>
      <c r="C16" s="16" t="s">
        <v>17</v>
      </c>
      <c r="D16" s="7" t="s">
        <v>96</v>
      </c>
      <c r="E16" s="18" t="s">
        <v>51</v>
      </c>
      <c r="F16" s="16" t="s">
        <v>76</v>
      </c>
      <c r="G16" s="16" t="s">
        <v>76</v>
      </c>
      <c r="H16" s="16" t="s">
        <v>77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>
        <f t="shared" si="0"/>
        <v>2</v>
      </c>
      <c r="Y16" s="16">
        <f t="shared" si="1"/>
        <v>1</v>
      </c>
      <c r="Z16" s="7">
        <f t="shared" si="2"/>
        <v>0</v>
      </c>
    </row>
    <row r="17" spans="2:26" ht="15.75" x14ac:dyDescent="0.25">
      <c r="B17" s="14">
        <v>12</v>
      </c>
      <c r="C17" s="16" t="s">
        <v>18</v>
      </c>
      <c r="D17" s="7" t="s">
        <v>96</v>
      </c>
      <c r="E17" s="15" t="s">
        <v>51</v>
      </c>
      <c r="F17" s="7" t="s">
        <v>76</v>
      </c>
      <c r="G17" s="7" t="s">
        <v>76</v>
      </c>
      <c r="H17" s="7" t="s">
        <v>77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>
        <f t="shared" si="0"/>
        <v>2</v>
      </c>
      <c r="Y17" s="7">
        <f t="shared" si="1"/>
        <v>1</v>
      </c>
      <c r="Z17" s="7">
        <f t="shared" si="2"/>
        <v>0</v>
      </c>
    </row>
    <row r="18" spans="2:26" ht="15.75" x14ac:dyDescent="0.25">
      <c r="B18" s="14">
        <v>13</v>
      </c>
      <c r="C18" s="16" t="s">
        <v>19</v>
      </c>
      <c r="D18" s="7" t="s">
        <v>96</v>
      </c>
      <c r="E18" s="15" t="s">
        <v>52</v>
      </c>
      <c r="F18" s="7" t="s">
        <v>76</v>
      </c>
      <c r="G18" s="7" t="s">
        <v>76</v>
      </c>
      <c r="H18" s="7" t="s">
        <v>76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>
        <f t="shared" si="0"/>
        <v>3</v>
      </c>
      <c r="Y18" s="7">
        <f t="shared" si="1"/>
        <v>0</v>
      </c>
      <c r="Z18" s="7">
        <f t="shared" si="2"/>
        <v>0</v>
      </c>
    </row>
    <row r="19" spans="2:26" ht="15.75" x14ac:dyDescent="0.25">
      <c r="B19" s="14">
        <v>14</v>
      </c>
      <c r="C19" s="16" t="s">
        <v>97</v>
      </c>
      <c r="D19" s="16" t="s">
        <v>98</v>
      </c>
      <c r="E19" s="18" t="s">
        <v>53</v>
      </c>
      <c r="F19" s="16" t="s">
        <v>77</v>
      </c>
      <c r="G19" s="16" t="s">
        <v>77</v>
      </c>
      <c r="H19" s="16" t="s">
        <v>77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>
        <f t="shared" si="0"/>
        <v>0</v>
      </c>
      <c r="Y19" s="16">
        <f t="shared" si="1"/>
        <v>3</v>
      </c>
      <c r="Z19" s="16">
        <f t="shared" si="2"/>
        <v>0</v>
      </c>
    </row>
    <row r="20" spans="2:26" ht="15.75" x14ac:dyDescent="0.25">
      <c r="B20" s="14">
        <v>15</v>
      </c>
      <c r="C20" s="16" t="s">
        <v>56</v>
      </c>
      <c r="D20" s="7" t="s">
        <v>99</v>
      </c>
      <c r="E20" s="15" t="s">
        <v>72</v>
      </c>
      <c r="F20" s="7" t="s">
        <v>76</v>
      </c>
      <c r="G20" s="7" t="s">
        <v>76</v>
      </c>
      <c r="H20" s="7" t="s">
        <v>76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f t="shared" si="0"/>
        <v>3</v>
      </c>
      <c r="Y20" s="7">
        <f t="shared" si="1"/>
        <v>0</v>
      </c>
      <c r="Z20" s="7">
        <f t="shared" si="2"/>
        <v>0</v>
      </c>
    </row>
    <row r="21" spans="2:26" ht="15.75" x14ac:dyDescent="0.25">
      <c r="B21" s="14">
        <v>16</v>
      </c>
      <c r="C21" s="16" t="s">
        <v>20</v>
      </c>
      <c r="D21" s="7" t="s">
        <v>100</v>
      </c>
      <c r="E21" s="15" t="s">
        <v>54</v>
      </c>
      <c r="F21" s="7" t="s">
        <v>76</v>
      </c>
      <c r="G21" s="7" t="s">
        <v>76</v>
      </c>
      <c r="H21" s="7" t="s">
        <v>76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f t="shared" si="0"/>
        <v>3</v>
      </c>
      <c r="Y21" s="7">
        <f t="shared" si="1"/>
        <v>0</v>
      </c>
      <c r="Z21" s="7">
        <f t="shared" si="2"/>
        <v>0</v>
      </c>
    </row>
    <row r="22" spans="2:26" ht="15.75" x14ac:dyDescent="0.25">
      <c r="B22" s="14">
        <v>17</v>
      </c>
      <c r="C22" s="16" t="s">
        <v>21</v>
      </c>
      <c r="D22" s="7" t="s">
        <v>101</v>
      </c>
      <c r="E22" s="15" t="s">
        <v>55</v>
      </c>
      <c r="F22" s="7" t="s">
        <v>76</v>
      </c>
      <c r="G22" s="7" t="s">
        <v>76</v>
      </c>
      <c r="H22" s="7" t="s">
        <v>76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f t="shared" si="0"/>
        <v>3</v>
      </c>
      <c r="Y22" s="7">
        <f t="shared" si="1"/>
        <v>0</v>
      </c>
      <c r="Z22" s="7">
        <f t="shared" si="2"/>
        <v>0</v>
      </c>
    </row>
    <row r="23" spans="2:26" ht="15.75" x14ac:dyDescent="0.25">
      <c r="B23" s="14">
        <v>18</v>
      </c>
      <c r="C23" s="16" t="s">
        <v>22</v>
      </c>
      <c r="D23" s="7" t="s">
        <v>102</v>
      </c>
      <c r="E23" s="15" t="s">
        <v>117</v>
      </c>
      <c r="F23" s="7" t="s">
        <v>76</v>
      </c>
      <c r="G23" s="7" t="s">
        <v>76</v>
      </c>
      <c r="H23" s="7" t="s">
        <v>76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>
        <f t="shared" si="0"/>
        <v>3</v>
      </c>
      <c r="Y23" s="7">
        <f t="shared" si="1"/>
        <v>0</v>
      </c>
      <c r="Z23" s="7">
        <f t="shared" si="2"/>
        <v>0</v>
      </c>
    </row>
    <row r="24" spans="2:26" ht="15.75" x14ac:dyDescent="0.25">
      <c r="B24" s="14">
        <v>19</v>
      </c>
      <c r="C24" s="16" t="s">
        <v>23</v>
      </c>
      <c r="D24" s="7" t="s">
        <v>103</v>
      </c>
      <c r="E24" s="15" t="s">
        <v>57</v>
      </c>
      <c r="F24" s="7" t="s">
        <v>77</v>
      </c>
      <c r="G24" s="7" t="s">
        <v>76</v>
      </c>
      <c r="H24" s="7" t="s">
        <v>76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>
        <f t="shared" si="0"/>
        <v>2</v>
      </c>
      <c r="Y24" s="7">
        <f t="shared" si="1"/>
        <v>1</v>
      </c>
      <c r="Z24" s="7">
        <f t="shared" si="2"/>
        <v>0</v>
      </c>
    </row>
    <row r="25" spans="2:26" ht="15.75" x14ac:dyDescent="0.25">
      <c r="B25" s="14">
        <v>20</v>
      </c>
      <c r="C25" s="16" t="s">
        <v>104</v>
      </c>
      <c r="D25" s="7" t="s">
        <v>105</v>
      </c>
      <c r="E25" s="15" t="s">
        <v>58</v>
      </c>
      <c r="F25" s="7" t="s">
        <v>76</v>
      </c>
      <c r="G25" s="7" t="s">
        <v>76</v>
      </c>
      <c r="H25" s="7" t="s">
        <v>76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>
        <f t="shared" si="0"/>
        <v>3</v>
      </c>
      <c r="Y25" s="7">
        <f t="shared" si="1"/>
        <v>0</v>
      </c>
      <c r="Z25" s="7">
        <f t="shared" si="2"/>
        <v>0</v>
      </c>
    </row>
    <row r="26" spans="2:26" ht="15.75" x14ac:dyDescent="0.25">
      <c r="B26" s="14">
        <v>21</v>
      </c>
      <c r="C26" s="16" t="s">
        <v>24</v>
      </c>
      <c r="D26" s="16" t="s">
        <v>106</v>
      </c>
      <c r="E26" s="18" t="s">
        <v>108</v>
      </c>
      <c r="F26" s="16" t="s">
        <v>76</v>
      </c>
      <c r="G26" s="16" t="s">
        <v>76</v>
      </c>
      <c r="H26" s="16" t="s">
        <v>77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>
        <f t="shared" si="0"/>
        <v>2</v>
      </c>
      <c r="Y26" s="16">
        <f t="shared" si="1"/>
        <v>1</v>
      </c>
      <c r="Z26" s="16">
        <f t="shared" si="2"/>
        <v>0</v>
      </c>
    </row>
    <row r="27" spans="2:26" ht="15.75" x14ac:dyDescent="0.25">
      <c r="B27" s="14">
        <v>22</v>
      </c>
      <c r="C27" s="16" t="s">
        <v>25</v>
      </c>
      <c r="D27" s="7" t="s">
        <v>107</v>
      </c>
      <c r="E27" s="15" t="s">
        <v>59</v>
      </c>
      <c r="F27" s="7" t="s">
        <v>76</v>
      </c>
      <c r="G27" s="7" t="s">
        <v>76</v>
      </c>
      <c r="H27" s="7" t="s">
        <v>76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>
        <f t="shared" si="0"/>
        <v>3</v>
      </c>
      <c r="Y27" s="7">
        <f t="shared" si="1"/>
        <v>0</v>
      </c>
      <c r="Z27" s="7">
        <f t="shared" si="2"/>
        <v>0</v>
      </c>
    </row>
    <row r="28" spans="2:26" ht="15.75" x14ac:dyDescent="0.25">
      <c r="B28" s="14">
        <v>23</v>
      </c>
      <c r="C28" s="16" t="s">
        <v>26</v>
      </c>
      <c r="D28" s="7" t="s">
        <v>107</v>
      </c>
      <c r="E28" s="15" t="s">
        <v>60</v>
      </c>
      <c r="F28" s="7" t="s">
        <v>76</v>
      </c>
      <c r="G28" s="7" t="s">
        <v>76</v>
      </c>
      <c r="H28" s="7" t="s">
        <v>76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>
        <f t="shared" si="0"/>
        <v>3</v>
      </c>
      <c r="Y28" s="7">
        <f t="shared" si="1"/>
        <v>0</v>
      </c>
      <c r="Z28" s="7">
        <f t="shared" si="2"/>
        <v>0</v>
      </c>
    </row>
    <row r="29" spans="2:26" ht="15.75" x14ac:dyDescent="0.25">
      <c r="B29" s="14">
        <v>24</v>
      </c>
      <c r="C29" s="16" t="s">
        <v>141</v>
      </c>
      <c r="D29" s="7" t="s">
        <v>109</v>
      </c>
      <c r="E29" s="15" t="s">
        <v>110</v>
      </c>
      <c r="F29" s="7" t="s">
        <v>76</v>
      </c>
      <c r="G29" s="7" t="s">
        <v>76</v>
      </c>
      <c r="H29" s="7" t="s">
        <v>76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>
        <f t="shared" si="0"/>
        <v>3</v>
      </c>
      <c r="Y29" s="7">
        <f t="shared" si="1"/>
        <v>0</v>
      </c>
      <c r="Z29" s="7">
        <f t="shared" si="2"/>
        <v>0</v>
      </c>
    </row>
    <row r="30" spans="2:26" ht="15.75" x14ac:dyDescent="0.25">
      <c r="B30" s="14">
        <v>25</v>
      </c>
      <c r="C30" s="16" t="s">
        <v>27</v>
      </c>
      <c r="D30" s="7" t="s">
        <v>111</v>
      </c>
      <c r="E30" s="15" t="s">
        <v>61</v>
      </c>
      <c r="F30" s="7" t="s">
        <v>76</v>
      </c>
      <c r="G30" s="7" t="s">
        <v>76</v>
      </c>
      <c r="H30" s="7" t="s">
        <v>76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>
        <f t="shared" si="0"/>
        <v>3</v>
      </c>
      <c r="Y30" s="7">
        <f t="shared" si="1"/>
        <v>0</v>
      </c>
      <c r="Z30" s="7">
        <f t="shared" si="2"/>
        <v>0</v>
      </c>
    </row>
    <row r="31" spans="2:26" ht="15.75" x14ac:dyDescent="0.25">
      <c r="B31" s="14">
        <v>26</v>
      </c>
      <c r="C31" s="16" t="s">
        <v>28</v>
      </c>
      <c r="D31" s="7" t="s">
        <v>112</v>
      </c>
      <c r="E31" s="15" t="s">
        <v>62</v>
      </c>
      <c r="F31" s="7" t="s">
        <v>77</v>
      </c>
      <c r="G31" s="7" t="s">
        <v>76</v>
      </c>
      <c r="H31" s="7" t="s">
        <v>77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>
        <f t="shared" si="0"/>
        <v>1</v>
      </c>
      <c r="Y31" s="7">
        <f t="shared" si="1"/>
        <v>2</v>
      </c>
      <c r="Z31" s="7">
        <f t="shared" si="2"/>
        <v>0</v>
      </c>
    </row>
    <row r="32" spans="2:26" ht="15.75" x14ac:dyDescent="0.25">
      <c r="B32" s="14">
        <v>27</v>
      </c>
      <c r="C32" s="16" t="s">
        <v>29</v>
      </c>
      <c r="D32" s="7" t="s">
        <v>103</v>
      </c>
      <c r="E32" s="15" t="s">
        <v>57</v>
      </c>
      <c r="F32" s="7" t="s">
        <v>76</v>
      </c>
      <c r="G32" s="7" t="s">
        <v>76</v>
      </c>
      <c r="H32" s="7" t="s">
        <v>76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>
        <f t="shared" si="0"/>
        <v>3</v>
      </c>
      <c r="Y32" s="7">
        <f t="shared" si="1"/>
        <v>0</v>
      </c>
      <c r="Z32" s="7">
        <f t="shared" si="2"/>
        <v>0</v>
      </c>
    </row>
    <row r="33" spans="2:26" ht="15.75" x14ac:dyDescent="0.25">
      <c r="B33" s="14">
        <v>28</v>
      </c>
      <c r="C33" s="16" t="s">
        <v>30</v>
      </c>
      <c r="D33" s="7" t="s">
        <v>113</v>
      </c>
      <c r="E33" s="15" t="s">
        <v>63</v>
      </c>
      <c r="F33" s="7" t="s">
        <v>76</v>
      </c>
      <c r="G33" s="7" t="s">
        <v>76</v>
      </c>
      <c r="H33" s="7" t="s">
        <v>76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>
        <f t="shared" si="0"/>
        <v>3</v>
      </c>
      <c r="Y33" s="7">
        <f t="shared" si="1"/>
        <v>0</v>
      </c>
      <c r="Z33" s="7">
        <f t="shared" si="2"/>
        <v>0</v>
      </c>
    </row>
    <row r="34" spans="2:26" ht="15.75" x14ac:dyDescent="0.25">
      <c r="B34" s="14">
        <v>29</v>
      </c>
      <c r="C34" s="16" t="s">
        <v>75</v>
      </c>
      <c r="D34" s="16" t="s">
        <v>119</v>
      </c>
      <c r="E34" s="18" t="s">
        <v>114</v>
      </c>
      <c r="F34" s="16" t="s">
        <v>76</v>
      </c>
      <c r="G34" s="16" t="s">
        <v>76</v>
      </c>
      <c r="H34" s="16" t="s">
        <v>76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>
        <f t="shared" si="0"/>
        <v>3</v>
      </c>
      <c r="Y34" s="16">
        <f t="shared" si="1"/>
        <v>0</v>
      </c>
      <c r="Z34" s="16">
        <f t="shared" si="2"/>
        <v>0</v>
      </c>
    </row>
    <row r="35" spans="2:26" ht="15.75" x14ac:dyDescent="0.25">
      <c r="B35" s="14">
        <v>30</v>
      </c>
      <c r="C35" s="16" t="s">
        <v>133</v>
      </c>
      <c r="D35" s="16" t="s">
        <v>119</v>
      </c>
      <c r="E35" s="15" t="s">
        <v>64</v>
      </c>
      <c r="F35" s="7" t="s">
        <v>76</v>
      </c>
      <c r="G35" s="7" t="s">
        <v>76</v>
      </c>
      <c r="H35" s="7" t="s">
        <v>76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>
        <f t="shared" si="0"/>
        <v>3</v>
      </c>
      <c r="Y35" s="7">
        <f t="shared" si="1"/>
        <v>0</v>
      </c>
      <c r="Z35" s="7">
        <f t="shared" si="2"/>
        <v>0</v>
      </c>
    </row>
    <row r="36" spans="2:26" ht="15.75" x14ac:dyDescent="0.25">
      <c r="B36" s="14">
        <v>31</v>
      </c>
      <c r="C36" s="16" t="s">
        <v>115</v>
      </c>
      <c r="D36" s="16" t="s">
        <v>116</v>
      </c>
      <c r="E36" s="18" t="s">
        <v>65</v>
      </c>
      <c r="F36" s="16" t="s">
        <v>77</v>
      </c>
      <c r="G36" s="16" t="s">
        <v>76</v>
      </c>
      <c r="H36" s="16" t="s">
        <v>76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>
        <f t="shared" si="0"/>
        <v>2</v>
      </c>
      <c r="Y36" s="16">
        <f t="shared" si="1"/>
        <v>1</v>
      </c>
      <c r="Z36" s="7">
        <f t="shared" si="2"/>
        <v>0</v>
      </c>
    </row>
    <row r="37" spans="2:26" ht="15.75" x14ac:dyDescent="0.25">
      <c r="B37" s="14">
        <v>32</v>
      </c>
      <c r="C37" s="16" t="s">
        <v>31</v>
      </c>
      <c r="D37" s="7" t="s">
        <v>102</v>
      </c>
      <c r="E37" s="15" t="s">
        <v>117</v>
      </c>
      <c r="F37" s="7" t="s">
        <v>76</v>
      </c>
      <c r="G37" s="7" t="s">
        <v>76</v>
      </c>
      <c r="H37" s="7" t="s">
        <v>76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>
        <f t="shared" si="0"/>
        <v>3</v>
      </c>
      <c r="Y37" s="7">
        <f t="shared" si="1"/>
        <v>0</v>
      </c>
      <c r="Z37" s="7">
        <f t="shared" si="2"/>
        <v>0</v>
      </c>
    </row>
    <row r="38" spans="2:26" ht="15.75" x14ac:dyDescent="0.25">
      <c r="B38" s="14">
        <v>33</v>
      </c>
      <c r="C38" s="16" t="s">
        <v>32</v>
      </c>
      <c r="D38" s="16" t="s">
        <v>118</v>
      </c>
      <c r="E38" s="18" t="s">
        <v>66</v>
      </c>
      <c r="F38" s="16" t="s">
        <v>76</v>
      </c>
      <c r="G38" s="16" t="s">
        <v>77</v>
      </c>
      <c r="H38" s="16" t="s">
        <v>77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>
        <f t="shared" si="0"/>
        <v>1</v>
      </c>
      <c r="Y38" s="16">
        <f t="shared" si="1"/>
        <v>2</v>
      </c>
      <c r="Z38" s="16">
        <f t="shared" si="2"/>
        <v>0</v>
      </c>
    </row>
    <row r="39" spans="2:26" ht="15.75" x14ac:dyDescent="0.25">
      <c r="B39" s="17">
        <v>34</v>
      </c>
      <c r="C39" s="16" t="s">
        <v>33</v>
      </c>
      <c r="D39" s="16" t="s">
        <v>137</v>
      </c>
      <c r="E39" s="18" t="s">
        <v>67</v>
      </c>
      <c r="F39" s="16" t="s">
        <v>77</v>
      </c>
      <c r="G39" s="16" t="s">
        <v>77</v>
      </c>
      <c r="H39" s="16" t="s">
        <v>77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>
        <f t="shared" si="0"/>
        <v>0</v>
      </c>
      <c r="Y39" s="16">
        <f t="shared" si="1"/>
        <v>3</v>
      </c>
      <c r="Z39" s="16">
        <f t="shared" si="2"/>
        <v>0</v>
      </c>
    </row>
    <row r="40" spans="2:26" ht="15.75" x14ac:dyDescent="0.25">
      <c r="B40" s="14">
        <v>35</v>
      </c>
      <c r="C40" s="16" t="s">
        <v>34</v>
      </c>
      <c r="D40" s="7" t="s">
        <v>120</v>
      </c>
      <c r="E40" s="15" t="s">
        <v>68</v>
      </c>
      <c r="F40" s="19" t="s">
        <v>77</v>
      </c>
      <c r="G40" s="19" t="s">
        <v>77</v>
      </c>
      <c r="H40" s="19" t="s">
        <v>76</v>
      </c>
      <c r="I40" s="19"/>
      <c r="J40" s="1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>
        <f t="shared" si="0"/>
        <v>1</v>
      </c>
      <c r="Y40" s="7">
        <f t="shared" si="1"/>
        <v>2</v>
      </c>
      <c r="Z40" s="7">
        <f t="shared" si="2"/>
        <v>0</v>
      </c>
    </row>
    <row r="41" spans="2:26" ht="15.75" x14ac:dyDescent="0.25">
      <c r="B41" s="14">
        <v>36</v>
      </c>
      <c r="C41" s="16" t="s">
        <v>35</v>
      </c>
      <c r="D41" s="7" t="s">
        <v>121</v>
      </c>
      <c r="E41" s="15" t="s">
        <v>69</v>
      </c>
      <c r="F41" s="7" t="s">
        <v>77</v>
      </c>
      <c r="G41" s="7" t="s">
        <v>76</v>
      </c>
      <c r="H41" s="7" t="s">
        <v>80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>
        <f t="shared" si="0"/>
        <v>1</v>
      </c>
      <c r="Y41" s="7">
        <f t="shared" si="1"/>
        <v>1</v>
      </c>
      <c r="Z41" s="7">
        <f t="shared" si="2"/>
        <v>1</v>
      </c>
    </row>
    <row r="42" spans="2:26" ht="15.75" x14ac:dyDescent="0.25">
      <c r="B42" s="17">
        <v>37</v>
      </c>
      <c r="C42" s="16" t="s">
        <v>36</v>
      </c>
      <c r="D42" s="16" t="s">
        <v>132</v>
      </c>
      <c r="E42" s="18" t="s">
        <v>70</v>
      </c>
      <c r="F42" s="16" t="s">
        <v>77</v>
      </c>
      <c r="G42" s="16" t="s">
        <v>76</v>
      </c>
      <c r="H42" s="16" t="s">
        <v>76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>
        <f t="shared" si="0"/>
        <v>2</v>
      </c>
      <c r="Y42" s="16">
        <f t="shared" si="1"/>
        <v>1</v>
      </c>
      <c r="Z42" s="16">
        <f t="shared" si="2"/>
        <v>0</v>
      </c>
    </row>
    <row r="43" spans="2:26" ht="15.75" x14ac:dyDescent="0.25">
      <c r="B43" s="14">
        <v>38</v>
      </c>
      <c r="C43" s="16" t="s">
        <v>37</v>
      </c>
      <c r="D43" s="7" t="s">
        <v>122</v>
      </c>
      <c r="E43" s="15" t="s">
        <v>123</v>
      </c>
      <c r="F43" s="7" t="s">
        <v>76</v>
      </c>
      <c r="G43" s="7" t="s">
        <v>76</v>
      </c>
      <c r="H43" s="7" t="s">
        <v>76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>
        <f t="shared" si="0"/>
        <v>3</v>
      </c>
      <c r="Y43" s="7">
        <f t="shared" si="1"/>
        <v>0</v>
      </c>
      <c r="Z43" s="7">
        <f t="shared" si="2"/>
        <v>0</v>
      </c>
    </row>
    <row r="44" spans="2:26" ht="15.75" x14ac:dyDescent="0.25">
      <c r="B44" s="14">
        <v>39</v>
      </c>
      <c r="C44" s="16" t="s">
        <v>38</v>
      </c>
      <c r="D44" s="7" t="s">
        <v>124</v>
      </c>
      <c r="E44" s="15" t="s">
        <v>71</v>
      </c>
      <c r="F44" s="7" t="s">
        <v>76</v>
      </c>
      <c r="G44" s="7" t="s">
        <v>76</v>
      </c>
      <c r="H44" s="7" t="s">
        <v>77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>
        <f t="shared" si="0"/>
        <v>2</v>
      </c>
      <c r="Y44" s="7">
        <f t="shared" si="1"/>
        <v>1</v>
      </c>
      <c r="Z44" s="7">
        <f t="shared" si="2"/>
        <v>0</v>
      </c>
    </row>
    <row r="45" spans="2:26" ht="15.75" x14ac:dyDescent="0.25">
      <c r="B45" s="14">
        <v>40</v>
      </c>
      <c r="C45" s="16" t="s">
        <v>39</v>
      </c>
      <c r="D45" s="7" t="s">
        <v>125</v>
      </c>
      <c r="E45" s="15" t="s">
        <v>73</v>
      </c>
      <c r="F45" s="7" t="s">
        <v>76</v>
      </c>
      <c r="G45" s="7" t="s">
        <v>76</v>
      </c>
      <c r="H45" s="7" t="s">
        <v>76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>
        <f t="shared" si="0"/>
        <v>3</v>
      </c>
      <c r="Y45" s="7">
        <f t="shared" si="1"/>
        <v>0</v>
      </c>
      <c r="Z45" s="7">
        <f t="shared" si="2"/>
        <v>0</v>
      </c>
    </row>
    <row r="46" spans="2:26" ht="15.75" x14ac:dyDescent="0.25">
      <c r="B46" s="14">
        <v>41</v>
      </c>
      <c r="C46" s="16" t="s">
        <v>128</v>
      </c>
      <c r="D46" s="7" t="s">
        <v>126</v>
      </c>
      <c r="E46" s="15" t="s">
        <v>129</v>
      </c>
      <c r="F46" s="7" t="s">
        <v>76</v>
      </c>
      <c r="G46" s="7" t="s">
        <v>76</v>
      </c>
      <c r="H46" s="7" t="s">
        <v>76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>
        <f t="shared" si="0"/>
        <v>3</v>
      </c>
      <c r="Y46" s="7">
        <f t="shared" si="1"/>
        <v>0</v>
      </c>
      <c r="Z46" s="7">
        <f t="shared" si="2"/>
        <v>0</v>
      </c>
    </row>
    <row r="47" spans="2:26" ht="15.75" x14ac:dyDescent="0.25">
      <c r="B47" s="14">
        <v>42</v>
      </c>
      <c r="C47" s="16" t="s">
        <v>40</v>
      </c>
      <c r="D47" s="7" t="s">
        <v>127</v>
      </c>
      <c r="E47" s="15" t="s">
        <v>74</v>
      </c>
      <c r="F47" s="7" t="s">
        <v>76</v>
      </c>
      <c r="G47" s="7" t="s">
        <v>76</v>
      </c>
      <c r="H47" s="7" t="s">
        <v>76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>
        <f t="shared" si="0"/>
        <v>3</v>
      </c>
      <c r="Y47" s="7">
        <f t="shared" si="1"/>
        <v>0</v>
      </c>
      <c r="Z47" s="7">
        <f t="shared" si="2"/>
        <v>0</v>
      </c>
    </row>
    <row r="48" spans="2:26" ht="15.75" x14ac:dyDescent="0.25">
      <c r="B48" s="14">
        <v>43</v>
      </c>
      <c r="C48" s="16" t="s">
        <v>134</v>
      </c>
      <c r="D48" s="7" t="s">
        <v>135</v>
      </c>
      <c r="E48" s="15" t="s">
        <v>136</v>
      </c>
      <c r="F48" s="7" t="s">
        <v>77</v>
      </c>
      <c r="G48" s="7" t="s">
        <v>77</v>
      </c>
      <c r="H48" s="7" t="s">
        <v>77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>
        <f t="shared" si="0"/>
        <v>0</v>
      </c>
      <c r="Y48" s="7">
        <f t="shared" si="1"/>
        <v>3</v>
      </c>
      <c r="Z48" s="7">
        <f t="shared" si="2"/>
        <v>0</v>
      </c>
    </row>
    <row r="49" spans="2:26" ht="15.75" x14ac:dyDescent="0.25">
      <c r="B49" s="14">
        <v>44</v>
      </c>
      <c r="C49" s="16" t="s">
        <v>78</v>
      </c>
      <c r="D49" s="7" t="s">
        <v>130</v>
      </c>
      <c r="E49" s="15" t="s">
        <v>131</v>
      </c>
      <c r="F49" s="7" t="s">
        <v>77</v>
      </c>
      <c r="G49" s="7" t="s">
        <v>77</v>
      </c>
      <c r="H49" s="7" t="s">
        <v>77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>
        <f t="shared" si="0"/>
        <v>0</v>
      </c>
      <c r="Y49" s="7">
        <f t="shared" si="1"/>
        <v>3</v>
      </c>
      <c r="Z49" s="7">
        <f t="shared" si="2"/>
        <v>0</v>
      </c>
    </row>
    <row r="50" spans="2:26" ht="15.75" x14ac:dyDescent="0.25">
      <c r="B50" s="14">
        <v>45</v>
      </c>
      <c r="C50" s="16" t="s">
        <v>160</v>
      </c>
      <c r="D50" s="7" t="s">
        <v>161</v>
      </c>
      <c r="E50" s="15" t="s">
        <v>162</v>
      </c>
      <c r="F50" s="7" t="s">
        <v>77</v>
      </c>
      <c r="G50" s="7" t="s">
        <v>77</v>
      </c>
      <c r="H50" s="7" t="s">
        <v>77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>
        <f t="shared" si="0"/>
        <v>0</v>
      </c>
      <c r="Y50" s="7">
        <f t="shared" si="1"/>
        <v>3</v>
      </c>
      <c r="Z50" s="7">
        <f t="shared" si="2"/>
        <v>0</v>
      </c>
    </row>
    <row r="51" spans="2:26" ht="15.75" x14ac:dyDescent="0.25">
      <c r="B51" s="14">
        <v>46</v>
      </c>
      <c r="C51" s="16" t="s">
        <v>138</v>
      </c>
      <c r="D51" s="7" t="s">
        <v>139</v>
      </c>
      <c r="E51" s="15" t="s">
        <v>140</v>
      </c>
      <c r="F51" s="7" t="s">
        <v>77</v>
      </c>
      <c r="G51" s="7" t="s">
        <v>77</v>
      </c>
      <c r="H51" s="7" t="s">
        <v>77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>
        <f t="shared" si="0"/>
        <v>0</v>
      </c>
      <c r="Y51" s="7">
        <f t="shared" si="1"/>
        <v>3</v>
      </c>
      <c r="Z51" s="7">
        <f t="shared" si="2"/>
        <v>0</v>
      </c>
    </row>
    <row r="52" spans="2:26" ht="15.75" x14ac:dyDescent="0.25">
      <c r="B52" s="14">
        <v>47</v>
      </c>
      <c r="C52" s="16" t="s">
        <v>153</v>
      </c>
      <c r="D52" s="7" t="s">
        <v>154</v>
      </c>
      <c r="E52" s="15" t="s">
        <v>155</v>
      </c>
      <c r="F52" s="7" t="s">
        <v>76</v>
      </c>
      <c r="G52" s="7" t="s">
        <v>76</v>
      </c>
      <c r="H52" s="7" t="s">
        <v>76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>
        <f t="shared" si="0"/>
        <v>3</v>
      </c>
      <c r="Y52" s="7">
        <f t="shared" si="1"/>
        <v>0</v>
      </c>
      <c r="Z52" s="7">
        <f t="shared" si="2"/>
        <v>0</v>
      </c>
    </row>
    <row r="53" spans="2:26" ht="15.75" x14ac:dyDescent="0.25">
      <c r="B53" s="32" t="s">
        <v>81</v>
      </c>
      <c r="C53" s="32"/>
      <c r="D53" s="7"/>
      <c r="E53" s="7"/>
      <c r="F53" s="8">
        <f t="shared" ref="F53:S53" si="3">COUNTIF(F6:F52,"P")</f>
        <v>31</v>
      </c>
      <c r="G53" s="8">
        <f t="shared" si="3"/>
        <v>38</v>
      </c>
      <c r="H53" s="8">
        <f t="shared" si="3"/>
        <v>29</v>
      </c>
      <c r="I53" s="8">
        <f t="shared" si="3"/>
        <v>0</v>
      </c>
      <c r="J53" s="8">
        <f t="shared" si="3"/>
        <v>0</v>
      </c>
      <c r="K53" s="8">
        <f t="shared" si="3"/>
        <v>0</v>
      </c>
      <c r="L53" s="8">
        <f t="shared" si="3"/>
        <v>0</v>
      </c>
      <c r="M53" s="8">
        <f t="shared" si="3"/>
        <v>0</v>
      </c>
      <c r="N53" s="8">
        <f t="shared" si="3"/>
        <v>0</v>
      </c>
      <c r="O53" s="8">
        <f t="shared" si="3"/>
        <v>0</v>
      </c>
      <c r="P53" s="8">
        <f t="shared" si="3"/>
        <v>0</v>
      </c>
      <c r="Q53" s="8">
        <f t="shared" si="3"/>
        <v>0</v>
      </c>
      <c r="R53" s="8">
        <f t="shared" si="3"/>
        <v>0</v>
      </c>
      <c r="S53" s="8">
        <f t="shared" si="3"/>
        <v>0</v>
      </c>
      <c r="T53" s="8"/>
      <c r="U53" s="8"/>
      <c r="V53" s="8">
        <f>COUNTIF(V6:V52,"P")</f>
        <v>0</v>
      </c>
      <c r="W53" s="8">
        <f>COUNTIF(W6:W52,"P")</f>
        <v>0</v>
      </c>
      <c r="X53" s="7"/>
      <c r="Y53" s="7"/>
      <c r="Z53" s="7"/>
    </row>
    <row r="54" spans="2:26" ht="15.75" x14ac:dyDescent="0.25">
      <c r="B54" s="33" t="s">
        <v>82</v>
      </c>
      <c r="C54" s="33"/>
      <c r="D54" s="9"/>
      <c r="E54" s="7"/>
      <c r="F54" s="7">
        <f t="shared" ref="F54:S54" si="4">COUNTIF(F6:F52,"A")</f>
        <v>15</v>
      </c>
      <c r="G54" s="7">
        <f t="shared" si="4"/>
        <v>9</v>
      </c>
      <c r="H54" s="7">
        <f t="shared" si="4"/>
        <v>17</v>
      </c>
      <c r="I54" s="7">
        <f t="shared" si="4"/>
        <v>0</v>
      </c>
      <c r="J54" s="7">
        <f t="shared" si="4"/>
        <v>0</v>
      </c>
      <c r="K54" s="7">
        <f t="shared" si="4"/>
        <v>0</v>
      </c>
      <c r="L54" s="7">
        <f t="shared" si="4"/>
        <v>0</v>
      </c>
      <c r="M54" s="7">
        <f t="shared" si="4"/>
        <v>0</v>
      </c>
      <c r="N54" s="7">
        <f t="shared" si="4"/>
        <v>0</v>
      </c>
      <c r="O54" s="7">
        <f t="shared" si="4"/>
        <v>0</v>
      </c>
      <c r="P54" s="7">
        <f t="shared" si="4"/>
        <v>0</v>
      </c>
      <c r="Q54" s="7">
        <f t="shared" si="4"/>
        <v>0</v>
      </c>
      <c r="R54" s="7">
        <f t="shared" si="4"/>
        <v>0</v>
      </c>
      <c r="S54" s="7">
        <f t="shared" si="4"/>
        <v>0</v>
      </c>
      <c r="T54" s="7"/>
      <c r="U54" s="7"/>
      <c r="V54" s="7">
        <f>COUNTIF(V6:V52,"A")</f>
        <v>0</v>
      </c>
      <c r="W54" s="7">
        <f>COUNTIF(W6:W52,"A")</f>
        <v>0</v>
      </c>
      <c r="X54" s="7"/>
      <c r="Y54" s="7"/>
      <c r="Z54" s="7"/>
    </row>
    <row r="55" spans="2:26" ht="15.75" x14ac:dyDescent="0.25">
      <c r="B55" s="26" t="s">
        <v>83</v>
      </c>
      <c r="C55" s="26"/>
      <c r="D55" s="9"/>
      <c r="E55" s="7"/>
      <c r="F55" s="7">
        <f t="shared" ref="F55:S55" si="5">COUNTIF(F6:F52,"L")</f>
        <v>1</v>
      </c>
      <c r="G55" s="7">
        <f t="shared" si="5"/>
        <v>0</v>
      </c>
      <c r="H55" s="7">
        <f t="shared" si="5"/>
        <v>1</v>
      </c>
      <c r="I55" s="7">
        <f t="shared" si="5"/>
        <v>0</v>
      </c>
      <c r="J55" s="7">
        <f t="shared" si="5"/>
        <v>0</v>
      </c>
      <c r="K55" s="7">
        <f t="shared" si="5"/>
        <v>0</v>
      </c>
      <c r="L55" s="7">
        <f t="shared" si="5"/>
        <v>0</v>
      </c>
      <c r="M55" s="7">
        <f t="shared" si="5"/>
        <v>0</v>
      </c>
      <c r="N55" s="7">
        <f t="shared" si="5"/>
        <v>0</v>
      </c>
      <c r="O55" s="7">
        <f t="shared" si="5"/>
        <v>0</v>
      </c>
      <c r="P55" s="7">
        <f t="shared" si="5"/>
        <v>0</v>
      </c>
      <c r="Q55" s="7">
        <f t="shared" si="5"/>
        <v>0</v>
      </c>
      <c r="R55" s="7">
        <f t="shared" si="5"/>
        <v>0</v>
      </c>
      <c r="S55" s="7">
        <f t="shared" si="5"/>
        <v>0</v>
      </c>
      <c r="T55" s="7"/>
      <c r="U55" s="7"/>
      <c r="V55" s="7">
        <f>COUNTIF(V6:V52,"L")</f>
        <v>0</v>
      </c>
      <c r="W55" s="7">
        <f>COUNTIF(W6:W52,"L")</f>
        <v>0</v>
      </c>
      <c r="X55" s="7"/>
      <c r="Y55" s="7"/>
      <c r="Z55" s="7"/>
    </row>
  </sheetData>
  <mergeCells count="5">
    <mergeCell ref="B55:C55"/>
    <mergeCell ref="D2:E3"/>
    <mergeCell ref="F2:W3"/>
    <mergeCell ref="B53:C53"/>
    <mergeCell ref="B54:C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A13"/>
  <sheetViews>
    <sheetView workbookViewId="0">
      <selection activeCell="E1" sqref="E1:F1048576"/>
    </sheetView>
  </sheetViews>
  <sheetFormatPr defaultRowHeight="15" x14ac:dyDescent="0.25"/>
  <cols>
    <col min="4" max="4" width="21.85546875" bestFit="1" customWidth="1"/>
    <col min="5" max="5" width="27.140625" hidden="1" customWidth="1"/>
    <col min="6" max="6" width="15.5703125" hidden="1" customWidth="1"/>
    <col min="7" max="8" width="7.85546875" bestFit="1" customWidth="1"/>
  </cols>
  <sheetData>
    <row r="2" spans="3:27" x14ac:dyDescent="0.25">
      <c r="C2" s="1" t="s">
        <v>4</v>
      </c>
      <c r="D2" s="25">
        <v>45941</v>
      </c>
      <c r="E2" s="29" t="s">
        <v>10</v>
      </c>
      <c r="F2" s="30"/>
      <c r="G2" s="27" t="s">
        <v>7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3"/>
      <c r="Z2" s="3"/>
      <c r="AA2" s="3"/>
    </row>
    <row r="3" spans="3:27" x14ac:dyDescent="0.25">
      <c r="C3" s="1" t="s">
        <v>6</v>
      </c>
      <c r="D3" s="22">
        <v>2025</v>
      </c>
      <c r="E3" s="31"/>
      <c r="F3" s="30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3"/>
      <c r="Z3" s="3"/>
      <c r="AA3" s="3"/>
    </row>
    <row r="4" spans="3:27" x14ac:dyDescent="0.25">
      <c r="C4" s="5"/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3:27" ht="15.75" x14ac:dyDescent="0.25">
      <c r="C5" s="10" t="s">
        <v>0</v>
      </c>
      <c r="D5" s="23" t="s">
        <v>1</v>
      </c>
      <c r="E5" s="8" t="s">
        <v>2</v>
      </c>
      <c r="F5" s="8" t="s">
        <v>3</v>
      </c>
      <c r="G5" s="8">
        <v>6</v>
      </c>
      <c r="H5" s="8">
        <v>7</v>
      </c>
      <c r="I5" s="8">
        <v>13</v>
      </c>
      <c r="J5" s="8">
        <v>14</v>
      </c>
      <c r="K5" s="8">
        <v>20</v>
      </c>
      <c r="L5" s="8">
        <v>21</v>
      </c>
      <c r="M5" s="8">
        <v>27</v>
      </c>
      <c r="N5" s="8">
        <v>28</v>
      </c>
      <c r="O5" s="8">
        <v>3</v>
      </c>
      <c r="P5" s="8">
        <v>4</v>
      </c>
      <c r="Q5" s="8">
        <v>10</v>
      </c>
      <c r="R5" s="8">
        <v>11</v>
      </c>
      <c r="S5" s="8">
        <v>17</v>
      </c>
      <c r="T5" s="8">
        <v>18</v>
      </c>
      <c r="U5" s="8">
        <v>24</v>
      </c>
      <c r="V5" s="8">
        <v>25</v>
      </c>
      <c r="W5" s="8">
        <v>31</v>
      </c>
      <c r="X5" s="8">
        <v>1</v>
      </c>
      <c r="Y5" s="11" t="s">
        <v>8</v>
      </c>
      <c r="Z5" s="12" t="s">
        <v>9</v>
      </c>
      <c r="AA5" s="13" t="s">
        <v>79</v>
      </c>
    </row>
    <row r="6" spans="3:27" ht="15.75" x14ac:dyDescent="0.25">
      <c r="C6" s="14">
        <v>47</v>
      </c>
      <c r="D6" s="16" t="s">
        <v>142</v>
      </c>
      <c r="E6" s="7" t="s">
        <v>143</v>
      </c>
      <c r="F6" s="15" t="s">
        <v>144</v>
      </c>
      <c r="G6" s="7" t="s">
        <v>76</v>
      </c>
      <c r="H6" s="7" t="s">
        <v>76</v>
      </c>
      <c r="I6" s="7" t="s">
        <v>76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>
        <f>COUNTIF(G6:X6,"P")</f>
        <v>3</v>
      </c>
      <c r="Z6" s="7">
        <f>COUNTIF(G6:X6,"A")</f>
        <v>0</v>
      </c>
      <c r="AA6" s="7">
        <f>COUNTIF(G6:Q6,"L")</f>
        <v>0</v>
      </c>
    </row>
    <row r="7" spans="3:27" ht="15.75" x14ac:dyDescent="0.25">
      <c r="C7" s="14">
        <v>48</v>
      </c>
      <c r="D7" s="16" t="s">
        <v>145</v>
      </c>
      <c r="E7" s="7" t="s">
        <v>152</v>
      </c>
      <c r="F7" s="15" t="s">
        <v>151</v>
      </c>
      <c r="G7" s="7" t="s">
        <v>77</v>
      </c>
      <c r="H7" s="7" t="s">
        <v>76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f>COUNTIF(G7:X7,"P")</f>
        <v>1</v>
      </c>
      <c r="Z7" s="7">
        <f>COUNTIF(G7:X7,"A")</f>
        <v>1</v>
      </c>
      <c r="AA7" s="7">
        <f>COUNTIF(G7:Q7,"L")</f>
        <v>0</v>
      </c>
    </row>
    <row r="8" spans="3:27" ht="15.75" x14ac:dyDescent="0.25">
      <c r="C8" s="14">
        <v>49</v>
      </c>
      <c r="D8" s="16" t="s">
        <v>147</v>
      </c>
      <c r="E8" s="7" t="s">
        <v>148</v>
      </c>
      <c r="F8" s="15" t="s">
        <v>149</v>
      </c>
      <c r="G8" s="7" t="s">
        <v>76</v>
      </c>
      <c r="H8" s="7" t="s">
        <v>76</v>
      </c>
      <c r="I8" s="7" t="s">
        <v>76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>
        <f>COUNTIF(G8:X8,"P")</f>
        <v>3</v>
      </c>
      <c r="Z8" s="7">
        <f>COUNTIF(G8:X8,"A")</f>
        <v>0</v>
      </c>
      <c r="AA8" s="7">
        <f>COUNTIF(G8:Q8,"L")</f>
        <v>0</v>
      </c>
    </row>
    <row r="9" spans="3:27" ht="15.75" x14ac:dyDescent="0.25">
      <c r="C9" s="14">
        <v>50</v>
      </c>
      <c r="D9" s="16" t="s">
        <v>146</v>
      </c>
      <c r="E9" s="7" t="s">
        <v>139</v>
      </c>
      <c r="F9" s="15" t="s">
        <v>150</v>
      </c>
      <c r="G9" s="7" t="s">
        <v>80</v>
      </c>
      <c r="H9" s="7" t="s">
        <v>80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>
        <f>COUNTIF(G9:X9,"P")</f>
        <v>0</v>
      </c>
      <c r="Z9" s="7">
        <f>COUNTIF(G9:X9,"A")</f>
        <v>0</v>
      </c>
      <c r="AA9" s="7">
        <f>COUNTIF(G9:Q9,"L")</f>
        <v>2</v>
      </c>
    </row>
    <row r="10" spans="3:27" ht="15.75" x14ac:dyDescent="0.25">
      <c r="C10" s="14">
        <v>51</v>
      </c>
      <c r="D10" s="16" t="s">
        <v>157</v>
      </c>
      <c r="E10" s="7" t="s">
        <v>158</v>
      </c>
      <c r="F10" s="15" t="s">
        <v>159</v>
      </c>
      <c r="G10" s="7" t="s">
        <v>80</v>
      </c>
      <c r="H10" s="7" t="s">
        <v>76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>
        <f>COUNTIF(G10:X10,"P")</f>
        <v>1</v>
      </c>
      <c r="Z10" s="7">
        <f>COUNTIF(G10:X10,"A")</f>
        <v>0</v>
      </c>
      <c r="AA10" s="7">
        <f>COUNTIF(G10:Q10,"L")</f>
        <v>1</v>
      </c>
    </row>
    <row r="11" spans="3:27" ht="15.75" x14ac:dyDescent="0.25">
      <c r="C11" s="32" t="s">
        <v>81</v>
      </c>
      <c r="D11" s="32"/>
      <c r="E11" s="7"/>
      <c r="F11" s="7"/>
      <c r="G11" s="8" t="e">
        <f>COUNTIF(#REF!,"P")</f>
        <v>#REF!</v>
      </c>
      <c r="H11" s="8" t="e">
        <f>COUNTIF(#REF!,"P")</f>
        <v>#REF!</v>
      </c>
      <c r="I11" s="8" t="e">
        <f>COUNTIF(#REF!,"P")</f>
        <v>#REF!</v>
      </c>
      <c r="J11" s="8" t="e">
        <f>COUNTIF(#REF!,"P")</f>
        <v>#REF!</v>
      </c>
      <c r="K11" s="8" t="e">
        <f>COUNTIF(#REF!,"P")</f>
        <v>#REF!</v>
      </c>
      <c r="L11" s="8" t="e">
        <f>COUNTIF(#REF!,"P")</f>
        <v>#REF!</v>
      </c>
      <c r="M11" s="8" t="e">
        <f>COUNTIF(#REF!,"P")</f>
        <v>#REF!</v>
      </c>
      <c r="N11" s="8" t="e">
        <f>COUNTIF(#REF!,"P")</f>
        <v>#REF!</v>
      </c>
      <c r="O11" s="8" t="e">
        <f>COUNTIF(#REF!,"P")</f>
        <v>#REF!</v>
      </c>
      <c r="P11" s="8" t="e">
        <f>COUNTIF(#REF!,"P")</f>
        <v>#REF!</v>
      </c>
      <c r="Q11" s="8" t="e">
        <f>COUNTIF(#REF!,"P")</f>
        <v>#REF!</v>
      </c>
      <c r="R11" s="8" t="e">
        <f>COUNTIF(#REF!,"P")</f>
        <v>#REF!</v>
      </c>
      <c r="S11" s="8" t="e">
        <f>COUNTIF(#REF!,"P")</f>
        <v>#REF!</v>
      </c>
      <c r="T11" s="8" t="e">
        <f>COUNTIF(#REF!,"P")</f>
        <v>#REF!</v>
      </c>
      <c r="U11" s="8"/>
      <c r="V11" s="8"/>
      <c r="W11" s="8" t="e">
        <f>COUNTIF(#REF!,"P")</f>
        <v>#REF!</v>
      </c>
      <c r="X11" s="8" t="e">
        <f>COUNTIF(#REF!,"P")</f>
        <v>#REF!</v>
      </c>
      <c r="Y11" s="7"/>
      <c r="Z11" s="7"/>
      <c r="AA11" s="7"/>
    </row>
    <row r="12" spans="3:27" ht="15.75" x14ac:dyDescent="0.25">
      <c r="C12" s="33" t="s">
        <v>82</v>
      </c>
      <c r="D12" s="33"/>
      <c r="E12" s="9"/>
      <c r="F12" s="7"/>
      <c r="G12" s="7" t="e">
        <f>COUNTIF(#REF!,"A")</f>
        <v>#REF!</v>
      </c>
      <c r="H12" s="7" t="e">
        <f>COUNTIF(#REF!,"A")</f>
        <v>#REF!</v>
      </c>
      <c r="I12" s="7" t="e">
        <f>COUNTIF(#REF!,"A")</f>
        <v>#REF!</v>
      </c>
      <c r="J12" s="7" t="e">
        <f>COUNTIF(#REF!,"A")</f>
        <v>#REF!</v>
      </c>
      <c r="K12" s="7" t="e">
        <f>COUNTIF(#REF!,"A")</f>
        <v>#REF!</v>
      </c>
      <c r="L12" s="7" t="e">
        <f>COUNTIF(#REF!,"A")</f>
        <v>#REF!</v>
      </c>
      <c r="M12" s="7" t="e">
        <f>COUNTIF(#REF!,"A")</f>
        <v>#REF!</v>
      </c>
      <c r="N12" s="7" t="e">
        <f>COUNTIF(#REF!,"A")</f>
        <v>#REF!</v>
      </c>
      <c r="O12" s="7" t="e">
        <f>COUNTIF(#REF!,"A")</f>
        <v>#REF!</v>
      </c>
      <c r="P12" s="7" t="e">
        <f>COUNTIF(#REF!,"A")</f>
        <v>#REF!</v>
      </c>
      <c r="Q12" s="7" t="e">
        <f>COUNTIF(#REF!,"A")</f>
        <v>#REF!</v>
      </c>
      <c r="R12" s="7" t="e">
        <f>COUNTIF(#REF!,"A")</f>
        <v>#REF!</v>
      </c>
      <c r="S12" s="7" t="e">
        <f>COUNTIF(#REF!,"A")</f>
        <v>#REF!</v>
      </c>
      <c r="T12" s="7" t="e">
        <f>COUNTIF(#REF!,"A")</f>
        <v>#REF!</v>
      </c>
      <c r="U12" s="7"/>
      <c r="V12" s="7"/>
      <c r="W12" s="7" t="e">
        <f>COUNTIF(#REF!,"A")</f>
        <v>#REF!</v>
      </c>
      <c r="X12" s="7" t="e">
        <f>COUNTIF(#REF!,"A")</f>
        <v>#REF!</v>
      </c>
      <c r="Y12" s="7"/>
      <c r="Z12" s="7"/>
      <c r="AA12" s="7"/>
    </row>
    <row r="13" spans="3:27" ht="15.75" x14ac:dyDescent="0.25">
      <c r="C13" s="26" t="s">
        <v>83</v>
      </c>
      <c r="D13" s="26"/>
      <c r="E13" s="9"/>
      <c r="F13" s="7"/>
      <c r="G13" s="7" t="e">
        <f>COUNTIF(#REF!,"L")</f>
        <v>#REF!</v>
      </c>
      <c r="H13" s="7" t="e">
        <f>COUNTIF(#REF!,"L")</f>
        <v>#REF!</v>
      </c>
      <c r="I13" s="7" t="e">
        <f>COUNTIF(#REF!,"L")</f>
        <v>#REF!</v>
      </c>
      <c r="J13" s="7" t="e">
        <f>COUNTIF(#REF!,"L")</f>
        <v>#REF!</v>
      </c>
      <c r="K13" s="7" t="e">
        <f>COUNTIF(#REF!,"L")</f>
        <v>#REF!</v>
      </c>
      <c r="L13" s="7" t="e">
        <f>COUNTIF(#REF!,"L")</f>
        <v>#REF!</v>
      </c>
      <c r="M13" s="7" t="e">
        <f>COUNTIF(#REF!,"L")</f>
        <v>#REF!</v>
      </c>
      <c r="N13" s="7" t="e">
        <f>COUNTIF(#REF!,"L")</f>
        <v>#REF!</v>
      </c>
      <c r="O13" s="7" t="e">
        <f>COUNTIF(#REF!,"L")</f>
        <v>#REF!</v>
      </c>
      <c r="P13" s="7" t="e">
        <f>COUNTIF(#REF!,"L")</f>
        <v>#REF!</v>
      </c>
      <c r="Q13" s="7" t="e">
        <f>COUNTIF(#REF!,"L")</f>
        <v>#REF!</v>
      </c>
      <c r="R13" s="7" t="e">
        <f>COUNTIF(#REF!,"L")</f>
        <v>#REF!</v>
      </c>
      <c r="S13" s="7" t="e">
        <f>COUNTIF(#REF!,"L")</f>
        <v>#REF!</v>
      </c>
      <c r="T13" s="7" t="e">
        <f>COUNTIF(#REF!,"L")</f>
        <v>#REF!</v>
      </c>
      <c r="U13" s="7"/>
      <c r="V13" s="7"/>
      <c r="W13" s="7" t="e">
        <f>COUNTIF(#REF!,"L")</f>
        <v>#REF!</v>
      </c>
      <c r="X13" s="7" t="e">
        <f>COUNTIF(#REF!,"L")</f>
        <v>#REF!</v>
      </c>
      <c r="Y13" s="7"/>
      <c r="Z13" s="7"/>
      <c r="AA13" s="7"/>
    </row>
  </sheetData>
  <mergeCells count="5">
    <mergeCell ref="E2:F3"/>
    <mergeCell ref="G2:X3"/>
    <mergeCell ref="C13:D13"/>
    <mergeCell ref="C11:D11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OCT-NOV</vt:lpstr>
      <vt:lpstr>DEC-JAN</vt:lpstr>
      <vt:lpstr>STAFF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2025-12-13T06:27:05Z</dcterms:modified>
</cp:coreProperties>
</file>