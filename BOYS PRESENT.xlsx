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" i="1" l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6" i="1"/>
  <c r="Q59" i="1"/>
  <c r="R59" i="1"/>
  <c r="S59" i="1"/>
  <c r="T59" i="1"/>
  <c r="U59" i="1"/>
  <c r="V59" i="1"/>
  <c r="H59" i="1" l="1"/>
  <c r="I59" i="1"/>
  <c r="J59" i="1"/>
  <c r="K59" i="1"/>
  <c r="L59" i="1"/>
  <c r="M59" i="1"/>
  <c r="N59" i="1"/>
  <c r="O59" i="1"/>
  <c r="P59" i="1"/>
  <c r="G59" i="1"/>
  <c r="X58" i="1" l="1"/>
  <c r="W58" i="1"/>
  <c r="W18" i="1" l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X14" i="1"/>
  <c r="X15" i="1"/>
  <c r="X16" i="1"/>
  <c r="X17" i="1"/>
  <c r="X18" i="1"/>
  <c r="X19" i="1"/>
  <c r="X20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W14" i="1"/>
  <c r="W15" i="1"/>
  <c r="W16" i="1"/>
  <c r="W17" i="1"/>
  <c r="W6" i="1"/>
  <c r="X11" i="1"/>
  <c r="X10" i="1"/>
  <c r="W7" i="1"/>
  <c r="X7" i="1"/>
  <c r="X8" i="1"/>
  <c r="X9" i="1"/>
  <c r="X12" i="1"/>
  <c r="X13" i="1"/>
  <c r="X6" i="1"/>
  <c r="W9" i="1"/>
  <c r="W10" i="1"/>
  <c r="W11" i="1"/>
  <c r="W12" i="1"/>
  <c r="W13" i="1"/>
  <c r="W8" i="1"/>
</calcChain>
</file>

<file path=xl/sharedStrings.xml><?xml version="1.0" encoding="utf-8"?>
<sst xmlns="http://schemas.openxmlformats.org/spreadsheetml/2006/main" count="537" uniqueCount="120">
  <si>
    <t>S.NO</t>
  </si>
  <si>
    <t>NAME</t>
  </si>
  <si>
    <t>FATHER NAME</t>
  </si>
  <si>
    <t>CONTACT NO</t>
  </si>
  <si>
    <t>ADDRESS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</si>
  <si>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</si>
  <si>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</si>
  <si>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</si>
  <si>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</si>
  <si>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</si>
  <si>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</si>
  <si>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</si>
  <si>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</si>
  <si>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</si>
  <si>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HUSSAIN SATTI</t>
  </si>
  <si>
    <t>M FAHAD</t>
  </si>
  <si>
    <t>M REHAN</t>
  </si>
  <si>
    <t>AWAIS JAVAID</t>
  </si>
  <si>
    <t>KHIZAR AKRAM</t>
  </si>
  <si>
    <t>ZOHAIB ARSHAD NOOR</t>
  </si>
  <si>
    <t>ARMAN ARSHAD</t>
  </si>
  <si>
    <t>HASEEB ARSHAD</t>
  </si>
  <si>
    <t>SHOAIB ARSHAD</t>
  </si>
  <si>
    <t>M HUSSNAIN TAYYAB</t>
  </si>
  <si>
    <t>M ABBDULLAH RIZWAN</t>
  </si>
  <si>
    <t>ABBDULLAH TARIQ</t>
  </si>
  <si>
    <t>USMAN TAHIR</t>
  </si>
  <si>
    <t>ZAIN SIDDIQUE</t>
  </si>
  <si>
    <t>SHANZAIB</t>
  </si>
  <si>
    <t>KASHAN ALI</t>
  </si>
  <si>
    <t>MUZZMIL NASIR</t>
  </si>
  <si>
    <t>KHIZAR MUHAMMAD</t>
  </si>
  <si>
    <t>M ZAIN</t>
  </si>
  <si>
    <t>M FAIZAN</t>
  </si>
  <si>
    <t>M UMAIR</t>
  </si>
  <si>
    <t>M ABDULLAH</t>
  </si>
  <si>
    <t>MOEED ASHRAF</t>
  </si>
  <si>
    <t>QASIM ALI</t>
  </si>
  <si>
    <t>FARHAN ALI</t>
  </si>
  <si>
    <t>UMER BASHIR</t>
  </si>
  <si>
    <t>SAAD ALI</t>
  </si>
  <si>
    <t>HUSSAIN DANISH</t>
  </si>
  <si>
    <t>FAHAD ABDULLAH</t>
  </si>
  <si>
    <t>M SAIF</t>
  </si>
  <si>
    <t>ABDUL SAMAD</t>
  </si>
  <si>
    <t>ASHAB ADEEL</t>
  </si>
  <si>
    <t>IBTISAM HASHMI</t>
  </si>
  <si>
    <t>M HARIS</t>
  </si>
  <si>
    <t>ROHAN IQBAL</t>
  </si>
  <si>
    <t>HAMZA BASHIR</t>
  </si>
  <si>
    <t>M HASSAAN UL UMAR</t>
  </si>
  <si>
    <t xml:space="preserve">HASSAN </t>
  </si>
  <si>
    <t>M ASAD</t>
  </si>
  <si>
    <t>M WASAY</t>
  </si>
  <si>
    <t>FAIZAN KHAN</t>
  </si>
  <si>
    <t>SARMAD REHAN</t>
  </si>
  <si>
    <t>ARSLAN KHAN</t>
  </si>
  <si>
    <t>M HASHIR</t>
  </si>
  <si>
    <t>M RAHAN</t>
  </si>
  <si>
    <t>M HASEEB AMJAD</t>
  </si>
  <si>
    <t>03272334186</t>
  </si>
  <si>
    <t>03424730409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</si>
  <si>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</si>
  <si>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</si>
  <si>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</si>
  <si>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</si>
  <si>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</si>
  <si>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</si>
  <si>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</si>
  <si>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</si>
  <si>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</si>
  <si>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</si>
  <si>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03335558465</t>
  </si>
  <si>
    <t>03325540051</t>
  </si>
  <si>
    <t>03257019330</t>
  </si>
  <si>
    <t>03323368158</t>
  </si>
  <si>
    <t>03160017577</t>
  </si>
  <si>
    <t>03321905316</t>
  </si>
  <si>
    <t>MUJTABA</t>
  </si>
  <si>
    <t>03452030113</t>
  </si>
  <si>
    <t>03062489439</t>
  </si>
  <si>
    <t>03032358220</t>
  </si>
  <si>
    <t>03312771649</t>
  </si>
  <si>
    <t>03119672235</t>
  </si>
  <si>
    <t>03351294767</t>
  </si>
  <si>
    <t>03459382137</t>
  </si>
  <si>
    <t>03212787671</t>
  </si>
  <si>
    <t>03152744883</t>
  </si>
  <si>
    <t>03132078100</t>
  </si>
  <si>
    <t>03195285316</t>
  </si>
  <si>
    <t>03378318250</t>
  </si>
  <si>
    <t>03332621237</t>
  </si>
  <si>
    <t>03293058891</t>
  </si>
  <si>
    <t>0249665142</t>
  </si>
  <si>
    <t>03232662153</t>
  </si>
  <si>
    <t>03408586628</t>
  </si>
  <si>
    <t>03141827420</t>
  </si>
  <si>
    <t>03132483736</t>
  </si>
  <si>
    <t>03120219979</t>
  </si>
  <si>
    <t>03220194071</t>
  </si>
  <si>
    <t>03075326250</t>
  </si>
  <si>
    <t>03132048558</t>
  </si>
  <si>
    <t>03017407743</t>
  </si>
  <si>
    <t>03334955882</t>
  </si>
  <si>
    <t>033443558151</t>
  </si>
  <si>
    <t>03429780715</t>
  </si>
  <si>
    <t>03493485954</t>
  </si>
  <si>
    <t>03190117916</t>
  </si>
  <si>
    <t>0334355815</t>
  </si>
  <si>
    <t>03420088406</t>
  </si>
  <si>
    <t>M HASSAN ASHRAF</t>
  </si>
  <si>
    <t>HAMMAD ALI KHAN</t>
  </si>
  <si>
    <t>P</t>
  </si>
  <si>
    <t>A</t>
  </si>
  <si>
    <t>M YOUNAS</t>
  </si>
  <si>
    <t>03252531538</t>
  </si>
  <si>
    <t>ALI ABBAS</t>
  </si>
  <si>
    <t>GRAND TOTAL</t>
  </si>
  <si>
    <t>LEAVE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</si>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</sst>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left" vertical="top"/>
    </xf>
    <xf numFmtId="0" fontId="4" fillId="0" borderId="1" xfId="0" applyFont="1" applyBorder="1"/>
    <xf numFmtId="0" fontId="4" fillId="2" borderId="1" xfId="0" applyFont="1" applyFill="1" applyBorder="1"/>
    <xf numFmtId="0" fontId="4" fillId="3" borderId="1" xfId="0" applyFont="1" applyFill="1" applyBorder="1"/>
    <xf numFmtId="0" fontId="4" fillId="0" borderId="0" xfId="0" applyFont="1"/>
    <xf numFmtId="0" fontId="3" fillId="0" borderId="1" xfId="0" applyFont="1" applyBorder="1"/>
    <xf numFmtId="49" fontId="3" fillId="0" borderId="1" xfId="0" applyNumberFormat="1" applyFont="1" applyBorder="1"/>
    <xf numFmtId="0" fontId="3" fillId="0" borderId="0" xfId="0" applyFont="1" applyAlignment="1">
      <alignment horizontal="left" vertical="top"/>
    </xf>
    <xf numFmtId="0" fontId="7" fillId="0" borderId="1" xfId="0" applyFont="1" applyBorder="1"/>
    <xf numFmtId="0" fontId="8" fillId="0" borderId="1" xfId="0" applyFont="1" applyBorder="1"/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49" fontId="8" fillId="0" borderId="1" xfId="0" applyNumberFormat="1" applyFont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59"/>
  <sheetViews>
    <sheetView tabSelected="1" workbookViewId="0">
      <selection activeCell="Q53" sqref="Q53"/>
    </sheetView>
  </sheetViews>
  <sheetFormatPr defaultColWidth="8.85546875" defaultRowHeight="14.25" x14ac:dyDescent="0.2"/>
  <cols>
    <col min="1" max="1" width="8.85546875" style="3"/>
    <col min="2" max="2" width="7.7109375" style="11" bestFit="1" customWidth="1"/>
    <col min="3" max="3" width="25" style="3" bestFit="1" customWidth="1"/>
    <col min="4" max="4" width="19.7109375" style="3" hidden="1" customWidth="1"/>
    <col min="5" max="5" width="15.5703125" style="3" hidden="1" customWidth="1"/>
    <col min="6" max="6" width="11.28515625" style="3" hidden="1" customWidth="1"/>
    <col min="7" max="22" width="3.28515625" style="3" bestFit="1" customWidth="1"/>
    <col min="23" max="23" width="10.42578125" style="3" bestFit="1" customWidth="1"/>
    <col min="24" max="24" width="9.28515625" style="3" bestFit="1" customWidth="1"/>
    <col min="25" max="16384" width="8.85546875" style="3"/>
  </cols>
  <sheetData>
    <row r="2" spans="2:25" x14ac:dyDescent="0.2">
      <c r="B2" s="1" t="s">
        <v>5</v>
      </c>
      <c r="C2" s="2" t="s">
        <v>6</v>
      </c>
      <c r="D2" s="16" t="s">
        <v>11</v>
      </c>
      <c r="E2" s="17"/>
      <c r="F2" s="17"/>
      <c r="G2" s="14" t="s">
        <v>8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spans="2:25" x14ac:dyDescent="0.2">
      <c r="B3" s="1" t="s">
        <v>7</v>
      </c>
      <c r="C3" s="2">
        <v>2025</v>
      </c>
      <c r="D3" s="18"/>
      <c r="E3" s="17"/>
      <c r="F3" s="17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spans="2:25" s="8" customFormat="1" ht="13.9" x14ac:dyDescent="0.25">
      <c r="B5" s="4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>
        <v>11</v>
      </c>
      <c r="H5" s="5">
        <v>12</v>
      </c>
      <c r="I5" s="5">
        <v>18</v>
      </c>
      <c r="J5" s="5">
        <v>19</v>
      </c>
      <c r="K5" s="5">
        <v>25</v>
      </c>
      <c r="L5" s="5">
        <v>26</v>
      </c>
      <c r="M5" s="5">
        <v>1</v>
      </c>
      <c r="N5" s="5">
        <v>2</v>
      </c>
      <c r="O5" s="5">
        <v>8</v>
      </c>
      <c r="P5" s="5">
        <v>9</v>
      </c>
      <c r="Q5" s="5">
        <v>15</v>
      </c>
      <c r="R5" s="5">
        <v>16</v>
      </c>
      <c r="S5" s="5">
        <v>22</v>
      </c>
      <c r="T5" s="5">
        <v>23</v>
      </c>
      <c r="U5" s="5">
        <v>29</v>
      </c>
      <c r="V5" s="5">
        <v>30</v>
      </c>
      <c r="W5" s="6" t="s">
        <v>9</v>
      </c>
      <c r="X5" s="7" t="s">
        <v>10</v>
      </c>
      <c r="Y5" s="6" t="s">
        <v>118</v>
      </c>
    </row>
    <row r="6" spans="2:25" ht="13.9" x14ac:dyDescent="0.25">
      <c r="B6" s="1">
        <v>1</v>
      </c>
      <c r="C6" s="9" t="s">
        <v>59</v>
      </c>
      <c r="D6" s="9"/>
      <c r="E6" s="10" t="s">
        <v>60</v>
      </c>
      <c r="F6" s="9"/>
      <c r="G6" s="9" t="s">
        <v>113</v>
      </c>
      <c r="H6" s="9" t="s">
        <v>112</v>
      </c>
      <c r="I6" s="9" t="s">
        <v>112</v>
      </c>
      <c r="J6" s="9" t="s">
        <v>112</v>
      </c>
      <c r="K6" s="9" t="s">
        <v>112</v>
      </c>
      <c r="L6" s="9" t="s">
        <v>112</v>
      </c>
      <c r="M6" s="9" t="s">
        <v>112</v>
      </c>
      <c r="N6" s="9" t="s">
        <v>112</v>
      </c>
      <c r="O6" s="9" t="s">
        <v>112</v>
      </c>
      <c r="P6" s="9" t="s">
        <v>112</v>
      </c>
      <c r="Q6" s="9" t="s">
        <v>112</v>
      </c>
      <c r="R6" s="9"/>
      <c r="S6" s="9"/>
      <c r="T6" s="9"/>
      <c r="U6" s="9"/>
      <c r="V6" s="9"/>
      <c r="W6" s="9">
        <f>COUNTIF(G6:V6,"P")</f>
        <v>10</v>
      </c>
      <c r="X6" s="9">
        <f>COUNTIF(G6:V6,"A")</f>
        <v>1</v>
      </c>
      <c r="Y6" s="9">
        <f>COUNTIF(G6:Q6,"L")</f>
        <v>0</v>
      </c>
    </row>
    <row r="7" spans="2:25" ht="13.9" x14ac:dyDescent="0.25">
      <c r="B7" s="1">
        <v>2</v>
      </c>
      <c r="C7" s="9" t="s">
        <v>12</v>
      </c>
      <c r="D7" s="9"/>
      <c r="E7" s="10" t="s">
        <v>61</v>
      </c>
      <c r="F7" s="9"/>
      <c r="G7" s="9" t="s">
        <v>113</v>
      </c>
      <c r="H7" s="9" t="s">
        <v>112</v>
      </c>
      <c r="I7" s="9" t="s">
        <v>112</v>
      </c>
      <c r="J7" s="9" t="s">
        <v>112</v>
      </c>
      <c r="K7" s="9" t="s">
        <v>112</v>
      </c>
      <c r="L7" s="9" t="s">
        <v>112</v>
      </c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/>
      <c r="S7" s="9"/>
      <c r="T7" s="9"/>
      <c r="U7" s="9"/>
      <c r="V7" s="9"/>
      <c r="W7" s="9">
        <f>COUNTIF(G7:V7,"P")</f>
        <v>10</v>
      </c>
      <c r="X7" s="9">
        <f t="shared" ref="X7:X58" si="0">COUNTIF(G7:V7,"A")</f>
        <v>1</v>
      </c>
      <c r="Y7" s="9">
        <f t="shared" ref="Y7:Y58" si="1">COUNTIF(G7:Q7,"L")</f>
        <v>0</v>
      </c>
    </row>
    <row r="8" spans="2:25" ht="13.9" x14ac:dyDescent="0.25">
      <c r="B8" s="1">
        <v>3</v>
      </c>
      <c r="C8" s="9" t="s">
        <v>13</v>
      </c>
      <c r="D8" s="9"/>
      <c r="E8" s="10" t="s">
        <v>62</v>
      </c>
      <c r="F8" s="9"/>
      <c r="G8" s="9" t="s">
        <v>112</v>
      </c>
      <c r="H8" s="9" t="s">
        <v>112</v>
      </c>
      <c r="I8" s="9" t="s">
        <v>112</v>
      </c>
      <c r="J8" s="9" t="s">
        <v>112</v>
      </c>
      <c r="K8" s="9" t="s">
        <v>112</v>
      </c>
      <c r="L8" s="9" t="s">
        <v>112</v>
      </c>
      <c r="M8" s="9" t="s">
        <v>112</v>
      </c>
      <c r="N8" s="9" t="s">
        <v>112</v>
      </c>
      <c r="O8" s="9" t="s">
        <v>112</v>
      </c>
      <c r="P8" s="9" t="s">
        <v>112</v>
      </c>
      <c r="Q8" s="9" t="s">
        <v>112</v>
      </c>
      <c r="R8" s="9"/>
      <c r="S8" s="9"/>
      <c r="T8" s="9"/>
      <c r="U8" s="9"/>
      <c r="V8" s="9"/>
      <c r="W8" s="9">
        <f>COUNTIF(G8:V8,"P")</f>
        <v>11</v>
      </c>
      <c r="X8" s="9">
        <f t="shared" si="0"/>
        <v>0</v>
      </c>
      <c r="Y8" s="9">
        <f t="shared" si="1"/>
        <v>0</v>
      </c>
    </row>
    <row r="9" spans="2:25" x14ac:dyDescent="0.2">
      <c r="B9" s="1">
        <v>4</v>
      </c>
      <c r="C9" s="13" t="s">
        <v>14</v>
      </c>
      <c r="D9" s="9"/>
      <c r="E9" s="10" t="s">
        <v>63</v>
      </c>
      <c r="F9" s="9"/>
      <c r="G9" s="9" t="s">
        <v>112</v>
      </c>
      <c r="H9" s="9" t="s">
        <v>112</v>
      </c>
      <c r="I9" s="9" t="s">
        <v>112</v>
      </c>
      <c r="J9" s="9" t="s">
        <v>112</v>
      </c>
      <c r="K9" s="9" t="s">
        <v>112</v>
      </c>
      <c r="L9" s="9" t="s">
        <v>112</v>
      </c>
      <c r="M9" s="9" t="s">
        <v>112</v>
      </c>
      <c r="N9" s="9" t="s">
        <v>112</v>
      </c>
      <c r="O9" s="9" t="s">
        <v>112</v>
      </c>
      <c r="P9" s="9" t="s">
        <v>112</v>
      </c>
      <c r="Q9" s="9" t="s">
        <v>112</v>
      </c>
      <c r="R9" s="9"/>
      <c r="S9" s="9"/>
      <c r="T9" s="9"/>
      <c r="U9" s="9"/>
      <c r="V9" s="9"/>
      <c r="W9" s="9">
        <f t="shared" ref="W9:W58" si="2">COUNTIF(G9:V9,"P")</f>
        <v>11</v>
      </c>
      <c r="X9" s="9">
        <f t="shared" si="0"/>
        <v>0</v>
      </c>
      <c r="Y9" s="9">
        <f t="shared" si="1"/>
        <v>0</v>
      </c>
    </row>
    <row r="10" spans="2:25" ht="13.9" x14ac:dyDescent="0.25">
      <c r="B10" s="1">
        <v>5</v>
      </c>
      <c r="C10" s="9" t="s">
        <v>15</v>
      </c>
      <c r="D10" s="9"/>
      <c r="E10" s="10" t="s">
        <v>64</v>
      </c>
      <c r="F10" s="9"/>
      <c r="G10" s="9" t="s">
        <v>112</v>
      </c>
      <c r="H10" s="9" t="s">
        <v>112</v>
      </c>
      <c r="I10" s="9" t="s">
        <v>112</v>
      </c>
      <c r="J10" s="9" t="s">
        <v>112</v>
      </c>
      <c r="K10" s="9" t="s">
        <v>112</v>
      </c>
      <c r="L10" s="9" t="s">
        <v>112</v>
      </c>
      <c r="M10" s="9" t="s">
        <v>112</v>
      </c>
      <c r="N10" s="9" t="s">
        <v>112</v>
      </c>
      <c r="O10" s="9" t="s">
        <v>112</v>
      </c>
      <c r="P10" s="9" t="s">
        <v>112</v>
      </c>
      <c r="Q10" s="9" t="s">
        <v>112</v>
      </c>
      <c r="R10" s="9"/>
      <c r="S10" s="9"/>
      <c r="T10" s="9"/>
      <c r="U10" s="9"/>
      <c r="V10" s="9"/>
      <c r="W10" s="9">
        <f t="shared" si="2"/>
        <v>11</v>
      </c>
      <c r="X10" s="9">
        <f>COUNTIF(G10:V10,"A")</f>
        <v>0</v>
      </c>
      <c r="Y10" s="9">
        <f t="shared" si="1"/>
        <v>0</v>
      </c>
    </row>
    <row r="11" spans="2:25" ht="13.9" x14ac:dyDescent="0.25">
      <c r="B11" s="1">
        <v>6</v>
      </c>
      <c r="C11" s="9" t="s">
        <v>16</v>
      </c>
      <c r="D11" s="9"/>
      <c r="E11" s="10" t="s">
        <v>65</v>
      </c>
      <c r="F11" s="9"/>
      <c r="G11" s="9" t="s">
        <v>112</v>
      </c>
      <c r="H11" s="9" t="s">
        <v>112</v>
      </c>
      <c r="I11" s="9" t="s">
        <v>112</v>
      </c>
      <c r="J11" s="9" t="s">
        <v>112</v>
      </c>
      <c r="K11" s="9" t="s">
        <v>112</v>
      </c>
      <c r="L11" s="9" t="s">
        <v>112</v>
      </c>
      <c r="M11" s="9" t="s">
        <v>112</v>
      </c>
      <c r="N11" s="9" t="s">
        <v>112</v>
      </c>
      <c r="O11" s="9" t="s">
        <v>112</v>
      </c>
      <c r="P11" s="9" t="s">
        <v>112</v>
      </c>
      <c r="Q11" s="9" t="s">
        <v>113</v>
      </c>
      <c r="R11" s="9"/>
      <c r="S11" s="9"/>
      <c r="T11" s="9"/>
      <c r="U11" s="9"/>
      <c r="V11" s="9"/>
      <c r="W11" s="9">
        <f t="shared" si="2"/>
        <v>10</v>
      </c>
      <c r="X11" s="9">
        <f>COUNTIF(G11:V11,"A")</f>
        <v>1</v>
      </c>
      <c r="Y11" s="9">
        <f t="shared" si="1"/>
        <v>0</v>
      </c>
    </row>
    <row r="12" spans="2:25" ht="13.9" x14ac:dyDescent="0.25">
      <c r="B12" s="1">
        <v>7</v>
      </c>
      <c r="C12" s="9" t="s">
        <v>17</v>
      </c>
      <c r="D12" s="9"/>
      <c r="E12" s="10" t="s">
        <v>66</v>
      </c>
      <c r="F12" s="9"/>
      <c r="G12" s="9" t="s">
        <v>112</v>
      </c>
      <c r="H12" s="9" t="s">
        <v>112</v>
      </c>
      <c r="I12" s="9" t="s">
        <v>112</v>
      </c>
      <c r="J12" s="9" t="s">
        <v>112</v>
      </c>
      <c r="K12" s="9" t="s">
        <v>112</v>
      </c>
      <c r="L12" s="9" t="s">
        <v>112</v>
      </c>
      <c r="M12" s="9" t="s">
        <v>112</v>
      </c>
      <c r="N12" s="9" t="s">
        <v>112</v>
      </c>
      <c r="O12" s="9" t="s">
        <v>112</v>
      </c>
      <c r="P12" s="9" t="s">
        <v>112</v>
      </c>
      <c r="Q12" s="9" t="s">
        <v>112</v>
      </c>
      <c r="R12" s="9"/>
      <c r="S12" s="9"/>
      <c r="T12" s="9"/>
      <c r="U12" s="9"/>
      <c r="V12" s="9"/>
      <c r="W12" s="9">
        <f t="shared" si="2"/>
        <v>11</v>
      </c>
      <c r="X12" s="9">
        <f t="shared" si="0"/>
        <v>0</v>
      </c>
      <c r="Y12" s="9">
        <f t="shared" si="1"/>
        <v>0</v>
      </c>
    </row>
    <row r="13" spans="2:25" ht="13.9" x14ac:dyDescent="0.25">
      <c r="B13" s="1">
        <v>8</v>
      </c>
      <c r="C13" s="9" t="s">
        <v>110</v>
      </c>
      <c r="D13" s="9"/>
      <c r="E13" s="10" t="s">
        <v>67</v>
      </c>
      <c r="F13" s="9"/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112</v>
      </c>
      <c r="L13" s="9" t="s">
        <v>112</v>
      </c>
      <c r="M13" s="9" t="s">
        <v>112</v>
      </c>
      <c r="N13" s="9" t="s">
        <v>112</v>
      </c>
      <c r="O13" s="9" t="s">
        <v>112</v>
      </c>
      <c r="P13" s="9" t="s">
        <v>112</v>
      </c>
      <c r="Q13" s="9" t="s">
        <v>112</v>
      </c>
      <c r="R13" s="9"/>
      <c r="S13" s="9"/>
      <c r="T13" s="9"/>
      <c r="U13" s="9"/>
      <c r="V13" s="9"/>
      <c r="W13" s="9">
        <f t="shared" si="2"/>
        <v>11</v>
      </c>
      <c r="X13" s="9">
        <f t="shared" si="0"/>
        <v>0</v>
      </c>
      <c r="Y13" s="9">
        <f t="shared" si="1"/>
        <v>0</v>
      </c>
    </row>
    <row r="14" spans="2:25" x14ac:dyDescent="0.2">
      <c r="B14" s="1">
        <v>9</v>
      </c>
      <c r="C14" s="12" t="s">
        <v>18</v>
      </c>
      <c r="D14" s="9"/>
      <c r="E14" s="10" t="s">
        <v>68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2"/>
        <v>0</v>
      </c>
      <c r="X14" s="9">
        <f t="shared" si="0"/>
        <v>0</v>
      </c>
      <c r="Y14" s="9">
        <f t="shared" si="1"/>
        <v>0</v>
      </c>
    </row>
    <row r="15" spans="2:25" x14ac:dyDescent="0.2">
      <c r="B15" s="1">
        <v>10</v>
      </c>
      <c r="C15" s="13" t="s">
        <v>19</v>
      </c>
      <c r="D15" s="9"/>
      <c r="E15" s="10" t="s">
        <v>69</v>
      </c>
      <c r="F15" s="9"/>
      <c r="G15" s="9" t="s">
        <v>112</v>
      </c>
      <c r="H15" s="9" t="s">
        <v>112</v>
      </c>
      <c r="I15" s="9" t="s">
        <v>112</v>
      </c>
      <c r="J15" s="9" t="s">
        <v>112</v>
      </c>
      <c r="K15" s="9" t="s">
        <v>112</v>
      </c>
      <c r="L15" s="9" t="s">
        <v>112</v>
      </c>
      <c r="M15" s="9" t="s">
        <v>112</v>
      </c>
      <c r="N15" s="9" t="s">
        <v>112</v>
      </c>
      <c r="O15" s="9" t="s">
        <v>112</v>
      </c>
      <c r="P15" s="9" t="s">
        <v>112</v>
      </c>
      <c r="Q15" s="9" t="s">
        <v>112</v>
      </c>
      <c r="R15" s="9"/>
      <c r="S15" s="9"/>
      <c r="T15" s="9"/>
      <c r="U15" s="9"/>
      <c r="V15" s="9"/>
      <c r="W15" s="9">
        <f t="shared" si="2"/>
        <v>11</v>
      </c>
      <c r="X15" s="9">
        <f t="shared" si="0"/>
        <v>0</v>
      </c>
      <c r="Y15" s="9">
        <f t="shared" si="1"/>
        <v>0</v>
      </c>
    </row>
    <row r="16" spans="2:25" s="22" customFormat="1" x14ac:dyDescent="0.2">
      <c r="B16" s="20">
        <v>11</v>
      </c>
      <c r="C16" s="13" t="s">
        <v>20</v>
      </c>
      <c r="D16" s="13"/>
      <c r="E16" s="21" t="s">
        <v>70</v>
      </c>
      <c r="F16" s="13"/>
      <c r="G16" s="13" t="s">
        <v>112</v>
      </c>
      <c r="H16" s="13" t="s">
        <v>112</v>
      </c>
      <c r="I16" s="13" t="s">
        <v>112</v>
      </c>
      <c r="J16" s="13" t="s">
        <v>112</v>
      </c>
      <c r="K16" s="13" t="s">
        <v>112</v>
      </c>
      <c r="L16" s="13" t="s">
        <v>112</v>
      </c>
      <c r="M16" s="13" t="s">
        <v>112</v>
      </c>
      <c r="N16" s="13" t="s">
        <v>112</v>
      </c>
      <c r="O16" s="13" t="s">
        <v>113</v>
      </c>
      <c r="P16" s="13" t="s">
        <v>113</v>
      </c>
      <c r="Q16" s="13" t="s">
        <v>112</v>
      </c>
      <c r="R16" s="13"/>
      <c r="S16" s="13"/>
      <c r="T16" s="13"/>
      <c r="U16" s="13"/>
      <c r="V16" s="13"/>
      <c r="W16" s="13">
        <f t="shared" si="2"/>
        <v>9</v>
      </c>
      <c r="X16" s="13">
        <f t="shared" si="0"/>
        <v>2</v>
      </c>
      <c r="Y16" s="9">
        <f t="shared" si="1"/>
        <v>0</v>
      </c>
    </row>
    <row r="17" spans="2:25" x14ac:dyDescent="0.2">
      <c r="B17" s="1">
        <v>12</v>
      </c>
      <c r="C17" s="13" t="s">
        <v>21</v>
      </c>
      <c r="D17" s="9"/>
      <c r="E17" s="10" t="s">
        <v>70</v>
      </c>
      <c r="F17" s="9"/>
      <c r="G17" s="9" t="s">
        <v>112</v>
      </c>
      <c r="H17" s="9" t="s">
        <v>112</v>
      </c>
      <c r="I17" s="9" t="s">
        <v>112</v>
      </c>
      <c r="J17" s="9" t="s">
        <v>112</v>
      </c>
      <c r="K17" s="9" t="s">
        <v>112</v>
      </c>
      <c r="L17" s="9" t="s">
        <v>112</v>
      </c>
      <c r="M17" s="9" t="s">
        <v>112</v>
      </c>
      <c r="N17" s="9" t="s">
        <v>112</v>
      </c>
      <c r="O17" s="9" t="s">
        <v>112</v>
      </c>
      <c r="P17" s="9" t="s">
        <v>112</v>
      </c>
      <c r="Q17" s="9" t="s">
        <v>112</v>
      </c>
      <c r="R17" s="9"/>
      <c r="S17" s="9"/>
      <c r="T17" s="9"/>
      <c r="U17" s="9"/>
      <c r="V17" s="9"/>
      <c r="W17" s="9">
        <f t="shared" si="2"/>
        <v>11</v>
      </c>
      <c r="X17" s="9">
        <f t="shared" si="0"/>
        <v>0</v>
      </c>
      <c r="Y17" s="9">
        <f t="shared" si="1"/>
        <v>0</v>
      </c>
    </row>
    <row r="18" spans="2:25" x14ac:dyDescent="0.2">
      <c r="B18" s="1">
        <v>13</v>
      </c>
      <c r="C18" s="13" t="s">
        <v>22</v>
      </c>
      <c r="D18" s="9"/>
      <c r="E18" s="10" t="s">
        <v>71</v>
      </c>
      <c r="F18" s="9"/>
      <c r="G18" s="9" t="s">
        <v>112</v>
      </c>
      <c r="H18" s="9" t="s">
        <v>112</v>
      </c>
      <c r="I18" s="9" t="s">
        <v>112</v>
      </c>
      <c r="J18" s="9" t="s">
        <v>112</v>
      </c>
      <c r="K18" s="9" t="s">
        <v>112</v>
      </c>
      <c r="L18" s="9" t="s">
        <v>112</v>
      </c>
      <c r="M18" s="9" t="s">
        <v>112</v>
      </c>
      <c r="N18" s="9" t="s">
        <v>112</v>
      </c>
      <c r="O18" s="9" t="s">
        <v>113</v>
      </c>
      <c r="P18" s="9" t="s">
        <v>112</v>
      </c>
      <c r="Q18" s="9" t="s">
        <v>112</v>
      </c>
      <c r="R18" s="9"/>
      <c r="S18" s="9"/>
      <c r="T18" s="9"/>
      <c r="U18" s="9"/>
      <c r="V18" s="9"/>
      <c r="W18" s="9">
        <f t="shared" si="2"/>
        <v>10</v>
      </c>
      <c r="X18" s="9">
        <f t="shared" si="0"/>
        <v>1</v>
      </c>
      <c r="Y18" s="9">
        <f t="shared" si="1"/>
        <v>0</v>
      </c>
    </row>
    <row r="19" spans="2:25" x14ac:dyDescent="0.2">
      <c r="B19" s="1">
        <v>14</v>
      </c>
      <c r="C19" s="12" t="s">
        <v>23</v>
      </c>
      <c r="D19" s="9"/>
      <c r="E19" s="10" t="s">
        <v>72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>
        <f t="shared" si="2"/>
        <v>0</v>
      </c>
      <c r="X19" s="9">
        <f t="shared" si="0"/>
        <v>0</v>
      </c>
      <c r="Y19" s="9">
        <f t="shared" si="1"/>
        <v>0</v>
      </c>
    </row>
    <row r="20" spans="2:25" x14ac:dyDescent="0.2">
      <c r="B20" s="1">
        <v>15</v>
      </c>
      <c r="C20" s="12" t="s">
        <v>24</v>
      </c>
      <c r="D20" s="9"/>
      <c r="E20" s="10" t="s">
        <v>73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si="2"/>
        <v>0</v>
      </c>
      <c r="X20" s="9">
        <f t="shared" si="0"/>
        <v>0</v>
      </c>
      <c r="Y20" s="9">
        <f t="shared" si="1"/>
        <v>0</v>
      </c>
    </row>
    <row r="21" spans="2:25" x14ac:dyDescent="0.2">
      <c r="B21" s="1">
        <v>16</v>
      </c>
      <c r="C21" s="13" t="s">
        <v>78</v>
      </c>
      <c r="D21" s="9"/>
      <c r="E21" s="10" t="s">
        <v>79</v>
      </c>
      <c r="F21" s="9"/>
      <c r="G21" s="9" t="s">
        <v>113</v>
      </c>
      <c r="H21" s="9" t="s">
        <v>113</v>
      </c>
      <c r="I21" s="9" t="s">
        <v>112</v>
      </c>
      <c r="J21" s="9" t="s">
        <v>112</v>
      </c>
      <c r="K21" s="9" t="s">
        <v>112</v>
      </c>
      <c r="L21" s="9" t="s">
        <v>112</v>
      </c>
      <c r="M21" s="9" t="s">
        <v>112</v>
      </c>
      <c r="N21" s="9" t="s">
        <v>112</v>
      </c>
      <c r="O21" s="9" t="s">
        <v>112</v>
      </c>
      <c r="P21" s="9" t="s">
        <v>113</v>
      </c>
      <c r="Q21" s="9" t="s">
        <v>112</v>
      </c>
      <c r="R21" s="9"/>
      <c r="S21" s="9"/>
      <c r="T21" s="9"/>
      <c r="U21" s="9"/>
      <c r="V21" s="9"/>
      <c r="W21" s="9"/>
      <c r="X21" s="9"/>
      <c r="Y21" s="9">
        <f t="shared" si="1"/>
        <v>0</v>
      </c>
    </row>
    <row r="22" spans="2:25" x14ac:dyDescent="0.2">
      <c r="B22" s="1">
        <v>17</v>
      </c>
      <c r="C22" s="9" t="s">
        <v>25</v>
      </c>
      <c r="D22" s="9"/>
      <c r="E22" s="10" t="s">
        <v>74</v>
      </c>
      <c r="F22" s="9"/>
      <c r="G22" s="9" t="s">
        <v>112</v>
      </c>
      <c r="H22" s="9" t="s">
        <v>112</v>
      </c>
      <c r="I22" s="9" t="s">
        <v>112</v>
      </c>
      <c r="J22" s="9" t="s">
        <v>112</v>
      </c>
      <c r="K22" s="9" t="s">
        <v>112</v>
      </c>
      <c r="L22" s="9" t="s">
        <v>112</v>
      </c>
      <c r="M22" s="9" t="s">
        <v>112</v>
      </c>
      <c r="N22" s="9" t="s">
        <v>112</v>
      </c>
      <c r="O22" s="9" t="s">
        <v>112</v>
      </c>
      <c r="P22" s="9" t="s">
        <v>112</v>
      </c>
      <c r="Q22" s="9" t="s">
        <v>112</v>
      </c>
      <c r="R22" s="9"/>
      <c r="S22" s="9"/>
      <c r="T22" s="9"/>
      <c r="U22" s="9"/>
      <c r="V22" s="9"/>
      <c r="W22" s="9">
        <f t="shared" si="2"/>
        <v>11</v>
      </c>
      <c r="X22" s="9">
        <f t="shared" si="0"/>
        <v>0</v>
      </c>
      <c r="Y22" s="9">
        <f t="shared" si="1"/>
        <v>0</v>
      </c>
    </row>
    <row r="23" spans="2:25" x14ac:dyDescent="0.2">
      <c r="B23" s="1">
        <v>18</v>
      </c>
      <c r="C23" s="9" t="s">
        <v>26</v>
      </c>
      <c r="D23" s="9"/>
      <c r="E23" s="10" t="s">
        <v>76</v>
      </c>
      <c r="F23" s="9"/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9" t="s">
        <v>112</v>
      </c>
      <c r="M23" s="9" t="s">
        <v>112</v>
      </c>
      <c r="N23" s="9" t="s">
        <v>112</v>
      </c>
      <c r="O23" s="9" t="s">
        <v>112</v>
      </c>
      <c r="P23" s="9" t="s">
        <v>112</v>
      </c>
      <c r="Q23" s="9" t="s">
        <v>112</v>
      </c>
      <c r="R23" s="9"/>
      <c r="S23" s="9"/>
      <c r="T23" s="9"/>
      <c r="U23" s="9"/>
      <c r="V23" s="9"/>
      <c r="W23" s="9">
        <f t="shared" si="2"/>
        <v>11</v>
      </c>
      <c r="X23" s="9">
        <f t="shared" si="0"/>
        <v>0</v>
      </c>
      <c r="Y23" s="9">
        <f t="shared" si="1"/>
        <v>0</v>
      </c>
    </row>
    <row r="24" spans="2:25" x14ac:dyDescent="0.2">
      <c r="B24" s="1">
        <v>19</v>
      </c>
      <c r="C24" s="9" t="s">
        <v>27</v>
      </c>
      <c r="D24" s="9"/>
      <c r="E24" s="10" t="s">
        <v>75</v>
      </c>
      <c r="F24" s="9"/>
      <c r="G24" s="9" t="s">
        <v>113</v>
      </c>
      <c r="H24" s="9" t="s">
        <v>112</v>
      </c>
      <c r="I24" s="9" t="s">
        <v>112</v>
      </c>
      <c r="J24" s="9" t="s">
        <v>112</v>
      </c>
      <c r="K24" s="9" t="s">
        <v>112</v>
      </c>
      <c r="L24" s="9" t="s">
        <v>112</v>
      </c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/>
      <c r="S24" s="9"/>
      <c r="T24" s="9"/>
      <c r="U24" s="9"/>
      <c r="V24" s="9"/>
      <c r="W24" s="9">
        <f t="shared" si="2"/>
        <v>10</v>
      </c>
      <c r="X24" s="9">
        <f t="shared" si="0"/>
        <v>1</v>
      </c>
      <c r="Y24" s="9">
        <f t="shared" si="1"/>
        <v>0</v>
      </c>
    </row>
    <row r="25" spans="2:25" x14ac:dyDescent="0.2">
      <c r="B25" s="1">
        <v>20</v>
      </c>
      <c r="C25" s="12" t="s">
        <v>28</v>
      </c>
      <c r="D25" s="9"/>
      <c r="E25" s="10" t="s">
        <v>77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>
        <f t="shared" si="2"/>
        <v>0</v>
      </c>
      <c r="X25" s="9">
        <f t="shared" si="0"/>
        <v>0</v>
      </c>
      <c r="Y25" s="9">
        <f t="shared" si="1"/>
        <v>0</v>
      </c>
    </row>
    <row r="26" spans="2:25" x14ac:dyDescent="0.2">
      <c r="B26" s="1">
        <v>21</v>
      </c>
      <c r="C26" s="9" t="s">
        <v>29</v>
      </c>
      <c r="D26" s="9"/>
      <c r="E26" s="10" t="s">
        <v>80</v>
      </c>
      <c r="F26" s="9"/>
      <c r="G26" s="9" t="s">
        <v>112</v>
      </c>
      <c r="H26" s="9" t="s">
        <v>112</v>
      </c>
      <c r="I26" s="9" t="s">
        <v>112</v>
      </c>
      <c r="J26" s="9" t="s">
        <v>112</v>
      </c>
      <c r="K26" s="9" t="s">
        <v>112</v>
      </c>
      <c r="L26" s="9" t="s">
        <v>112</v>
      </c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112</v>
      </c>
      <c r="R26" s="9"/>
      <c r="S26" s="9"/>
      <c r="T26" s="9"/>
      <c r="U26" s="9"/>
      <c r="V26" s="9"/>
      <c r="W26" s="9">
        <f t="shared" si="2"/>
        <v>11</v>
      </c>
      <c r="X26" s="9">
        <f t="shared" si="0"/>
        <v>0</v>
      </c>
      <c r="Y26" s="9">
        <f t="shared" si="1"/>
        <v>0</v>
      </c>
    </row>
    <row r="27" spans="2:25" x14ac:dyDescent="0.2">
      <c r="B27" s="1">
        <v>22</v>
      </c>
      <c r="C27" s="9" t="s">
        <v>30</v>
      </c>
      <c r="D27" s="9"/>
      <c r="E27" s="10" t="s">
        <v>81</v>
      </c>
      <c r="F27" s="9"/>
      <c r="G27" s="9" t="s">
        <v>112</v>
      </c>
      <c r="H27" s="9" t="s">
        <v>112</v>
      </c>
      <c r="I27" s="9" t="s">
        <v>112</v>
      </c>
      <c r="J27" s="9" t="s">
        <v>112</v>
      </c>
      <c r="K27" s="9" t="s">
        <v>112</v>
      </c>
      <c r="L27" s="9" t="s">
        <v>112</v>
      </c>
      <c r="M27" s="9" t="s">
        <v>112</v>
      </c>
      <c r="N27" s="9" t="s">
        <v>112</v>
      </c>
      <c r="O27" s="9" t="s">
        <v>112</v>
      </c>
      <c r="P27" s="9" t="s">
        <v>112</v>
      </c>
      <c r="Q27" s="9" t="s">
        <v>112</v>
      </c>
      <c r="R27" s="9"/>
      <c r="S27" s="9"/>
      <c r="T27" s="9"/>
      <c r="U27" s="9"/>
      <c r="V27" s="9"/>
      <c r="W27" s="9">
        <f t="shared" si="2"/>
        <v>11</v>
      </c>
      <c r="X27" s="9">
        <f t="shared" si="0"/>
        <v>0</v>
      </c>
      <c r="Y27" s="9">
        <f t="shared" si="1"/>
        <v>0</v>
      </c>
    </row>
    <row r="28" spans="2:25" x14ac:dyDescent="0.2">
      <c r="B28" s="1">
        <v>23</v>
      </c>
      <c r="C28" s="12" t="s">
        <v>31</v>
      </c>
      <c r="D28" s="9"/>
      <c r="E28" s="10" t="s">
        <v>82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2"/>
        <v>0</v>
      </c>
      <c r="X28" s="9">
        <f t="shared" si="0"/>
        <v>0</v>
      </c>
      <c r="Y28" s="9">
        <f t="shared" si="1"/>
        <v>0</v>
      </c>
    </row>
    <row r="29" spans="2:25" x14ac:dyDescent="0.2">
      <c r="B29" s="1">
        <v>24</v>
      </c>
      <c r="C29" s="9" t="s">
        <v>32</v>
      </c>
      <c r="D29" s="9"/>
      <c r="E29" s="10" t="s">
        <v>83</v>
      </c>
      <c r="F29" s="9"/>
      <c r="G29" s="9" t="s">
        <v>112</v>
      </c>
      <c r="H29" s="9" t="s">
        <v>112</v>
      </c>
      <c r="I29" s="9" t="s">
        <v>112</v>
      </c>
      <c r="J29" s="9" t="s">
        <v>112</v>
      </c>
      <c r="K29" s="9" t="s">
        <v>112</v>
      </c>
      <c r="L29" s="9" t="s">
        <v>112</v>
      </c>
      <c r="M29" s="9" t="s">
        <v>112</v>
      </c>
      <c r="N29" s="9" t="s">
        <v>112</v>
      </c>
      <c r="O29" s="9" t="s">
        <v>112</v>
      </c>
      <c r="P29" s="9" t="s">
        <v>112</v>
      </c>
      <c r="Q29" s="9" t="s">
        <v>112</v>
      </c>
      <c r="R29" s="9"/>
      <c r="S29" s="9"/>
      <c r="T29" s="9"/>
      <c r="U29" s="9"/>
      <c r="V29" s="9"/>
      <c r="W29" s="9">
        <f t="shared" si="2"/>
        <v>11</v>
      </c>
      <c r="X29" s="9">
        <f t="shared" si="0"/>
        <v>0</v>
      </c>
      <c r="Y29" s="9">
        <f t="shared" si="1"/>
        <v>0</v>
      </c>
    </row>
    <row r="30" spans="2:25" x14ac:dyDescent="0.2">
      <c r="B30" s="1">
        <v>25</v>
      </c>
      <c r="C30" s="9" t="s">
        <v>33</v>
      </c>
      <c r="D30" s="9"/>
      <c r="E30" s="10" t="s">
        <v>84</v>
      </c>
      <c r="F30" s="9"/>
      <c r="G30" s="9" t="s">
        <v>112</v>
      </c>
      <c r="H30" s="9" t="s">
        <v>112</v>
      </c>
      <c r="I30" s="9" t="s">
        <v>112</v>
      </c>
      <c r="J30" s="9" t="s">
        <v>112</v>
      </c>
      <c r="K30" s="9" t="s">
        <v>112</v>
      </c>
      <c r="L30" s="9" t="s">
        <v>112</v>
      </c>
      <c r="M30" s="9" t="s">
        <v>112</v>
      </c>
      <c r="N30" s="9" t="s">
        <v>112</v>
      </c>
      <c r="O30" s="9" t="s">
        <v>112</v>
      </c>
      <c r="P30" s="9" t="s">
        <v>112</v>
      </c>
      <c r="Q30" s="9" t="s">
        <v>112</v>
      </c>
      <c r="R30" s="9"/>
      <c r="S30" s="9"/>
      <c r="T30" s="9"/>
      <c r="U30" s="9"/>
      <c r="V30" s="9"/>
      <c r="W30" s="9">
        <f t="shared" si="2"/>
        <v>11</v>
      </c>
      <c r="X30" s="9">
        <f t="shared" si="0"/>
        <v>0</v>
      </c>
      <c r="Y30" s="9">
        <f t="shared" si="1"/>
        <v>0</v>
      </c>
    </row>
    <row r="31" spans="2:25" x14ac:dyDescent="0.2">
      <c r="B31" s="1">
        <v>26</v>
      </c>
      <c r="C31" s="9" t="s">
        <v>34</v>
      </c>
      <c r="D31" s="9"/>
      <c r="E31" s="10" t="s">
        <v>85</v>
      </c>
      <c r="F31" s="9"/>
      <c r="G31" s="9" t="s">
        <v>112</v>
      </c>
      <c r="H31" s="9" t="s">
        <v>112</v>
      </c>
      <c r="I31" s="9" t="s">
        <v>112</v>
      </c>
      <c r="J31" s="9" t="s">
        <v>112</v>
      </c>
      <c r="K31" s="9" t="s">
        <v>112</v>
      </c>
      <c r="L31" s="9" t="s">
        <v>112</v>
      </c>
      <c r="M31" s="9" t="s">
        <v>112</v>
      </c>
      <c r="N31" s="9" t="s">
        <v>112</v>
      </c>
      <c r="O31" s="9" t="s">
        <v>112</v>
      </c>
      <c r="P31" s="9" t="s">
        <v>112</v>
      </c>
      <c r="Q31" s="9" t="s">
        <v>112</v>
      </c>
      <c r="R31" s="9"/>
      <c r="S31" s="9"/>
      <c r="T31" s="9"/>
      <c r="U31" s="9"/>
      <c r="V31" s="9"/>
      <c r="W31" s="9">
        <f t="shared" si="2"/>
        <v>11</v>
      </c>
      <c r="X31" s="9">
        <f t="shared" si="0"/>
        <v>0</v>
      </c>
      <c r="Y31" s="9">
        <f t="shared" si="1"/>
        <v>0</v>
      </c>
    </row>
    <row r="32" spans="2:25" x14ac:dyDescent="0.2">
      <c r="B32" s="1">
        <v>27</v>
      </c>
      <c r="C32" s="12" t="s">
        <v>35</v>
      </c>
      <c r="D32" s="9"/>
      <c r="E32" s="10" t="s">
        <v>86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"/>
        <v>0</v>
      </c>
      <c r="X32" s="9">
        <f t="shared" si="0"/>
        <v>0</v>
      </c>
      <c r="Y32" s="9">
        <f t="shared" si="1"/>
        <v>0</v>
      </c>
    </row>
    <row r="33" spans="2:25" x14ac:dyDescent="0.2">
      <c r="B33" s="1">
        <v>28</v>
      </c>
      <c r="C33" s="9" t="s">
        <v>36</v>
      </c>
      <c r="D33" s="9"/>
      <c r="E33" s="10" t="s">
        <v>87</v>
      </c>
      <c r="F33" s="9"/>
      <c r="G33" s="9" t="s">
        <v>113</v>
      </c>
      <c r="H33" s="9" t="s">
        <v>112</v>
      </c>
      <c r="I33" s="9" t="s">
        <v>112</v>
      </c>
      <c r="J33" s="9" t="s">
        <v>112</v>
      </c>
      <c r="K33" s="9" t="s">
        <v>112</v>
      </c>
      <c r="L33" s="9" t="s">
        <v>112</v>
      </c>
      <c r="M33" s="9" t="s">
        <v>112</v>
      </c>
      <c r="N33" s="9" t="s">
        <v>112</v>
      </c>
      <c r="O33" s="9" t="s">
        <v>112</v>
      </c>
      <c r="P33" s="9" t="s">
        <v>112</v>
      </c>
      <c r="Q33" s="9" t="s">
        <v>112</v>
      </c>
      <c r="R33" s="9"/>
      <c r="S33" s="9"/>
      <c r="T33" s="9"/>
      <c r="U33" s="9"/>
      <c r="V33" s="9"/>
      <c r="W33" s="9">
        <f t="shared" si="2"/>
        <v>10</v>
      </c>
      <c r="X33" s="9">
        <f t="shared" si="0"/>
        <v>1</v>
      </c>
      <c r="Y33" s="9">
        <f t="shared" si="1"/>
        <v>0</v>
      </c>
    </row>
    <row r="34" spans="2:25" x14ac:dyDescent="0.2">
      <c r="B34" s="1">
        <v>29</v>
      </c>
      <c r="C34" s="9" t="s">
        <v>37</v>
      </c>
      <c r="D34" s="9"/>
      <c r="E34" s="10" t="s">
        <v>88</v>
      </c>
      <c r="F34" s="9"/>
      <c r="G34" s="9" t="s">
        <v>113</v>
      </c>
      <c r="H34" s="9" t="s">
        <v>112</v>
      </c>
      <c r="I34" s="9" t="s">
        <v>112</v>
      </c>
      <c r="J34" s="9" t="s">
        <v>112</v>
      </c>
      <c r="K34" s="9" t="s">
        <v>112</v>
      </c>
      <c r="L34" s="9" t="s">
        <v>112</v>
      </c>
      <c r="M34" s="9" t="s">
        <v>112</v>
      </c>
      <c r="N34" s="9" t="s">
        <v>112</v>
      </c>
      <c r="O34" s="9" t="s">
        <v>112</v>
      </c>
      <c r="P34" s="9" t="s">
        <v>112</v>
      </c>
      <c r="Q34" s="9" t="s">
        <v>112</v>
      </c>
      <c r="R34" s="9"/>
      <c r="S34" s="9"/>
      <c r="T34" s="9"/>
      <c r="U34" s="9"/>
      <c r="V34" s="9"/>
      <c r="W34" s="9">
        <f t="shared" si="2"/>
        <v>10</v>
      </c>
      <c r="X34" s="9">
        <f t="shared" si="0"/>
        <v>1</v>
      </c>
      <c r="Y34" s="9">
        <f t="shared" si="1"/>
        <v>0</v>
      </c>
    </row>
    <row r="35" spans="2:25" x14ac:dyDescent="0.2">
      <c r="B35" s="1">
        <v>30</v>
      </c>
      <c r="C35" s="9" t="s">
        <v>38</v>
      </c>
      <c r="D35" s="9"/>
      <c r="E35" s="10" t="s">
        <v>80</v>
      </c>
      <c r="F35" s="9"/>
      <c r="G35" s="9" t="s">
        <v>112</v>
      </c>
      <c r="H35" s="9" t="s">
        <v>112</v>
      </c>
      <c r="I35" s="9" t="s">
        <v>112</v>
      </c>
      <c r="J35" s="9" t="s">
        <v>112</v>
      </c>
      <c r="K35" s="9" t="s">
        <v>112</v>
      </c>
      <c r="L35" s="9" t="s">
        <v>112</v>
      </c>
      <c r="M35" s="9" t="s">
        <v>112</v>
      </c>
      <c r="N35" s="9" t="s">
        <v>112</v>
      </c>
      <c r="O35" s="9" t="s">
        <v>112</v>
      </c>
      <c r="P35" s="9" t="s">
        <v>112</v>
      </c>
      <c r="Q35" s="9" t="s">
        <v>112</v>
      </c>
      <c r="R35" s="9"/>
      <c r="S35" s="9"/>
      <c r="T35" s="9"/>
      <c r="U35" s="9"/>
      <c r="V35" s="9"/>
      <c r="W35" s="9">
        <f t="shared" si="2"/>
        <v>11</v>
      </c>
      <c r="X35" s="9">
        <f t="shared" si="0"/>
        <v>0</v>
      </c>
      <c r="Y35" s="9">
        <f t="shared" si="1"/>
        <v>0</v>
      </c>
    </row>
    <row r="36" spans="2:25" x14ac:dyDescent="0.2">
      <c r="B36" s="1">
        <v>31</v>
      </c>
      <c r="C36" s="9" t="s">
        <v>39</v>
      </c>
      <c r="D36" s="9"/>
      <c r="E36" s="10" t="s">
        <v>89</v>
      </c>
      <c r="F36" s="9"/>
      <c r="G36" s="9" t="s">
        <v>112</v>
      </c>
      <c r="H36" s="9" t="s">
        <v>112</v>
      </c>
      <c r="I36" s="9" t="s">
        <v>112</v>
      </c>
      <c r="J36" s="9" t="s">
        <v>112</v>
      </c>
      <c r="K36" s="9" t="s">
        <v>112</v>
      </c>
      <c r="L36" s="9" t="s">
        <v>112</v>
      </c>
      <c r="M36" s="9" t="s">
        <v>112</v>
      </c>
      <c r="N36" s="9" t="s">
        <v>112</v>
      </c>
      <c r="O36" s="9" t="s">
        <v>112</v>
      </c>
      <c r="P36" s="9" t="s">
        <v>112</v>
      </c>
      <c r="Q36" s="9" t="s">
        <v>112</v>
      </c>
      <c r="R36" s="9"/>
      <c r="S36" s="9"/>
      <c r="T36" s="9"/>
      <c r="U36" s="9"/>
      <c r="V36" s="9"/>
      <c r="W36" s="9">
        <f t="shared" si="2"/>
        <v>11</v>
      </c>
      <c r="X36" s="9">
        <f t="shared" si="0"/>
        <v>0</v>
      </c>
      <c r="Y36" s="9">
        <f t="shared" si="1"/>
        <v>0</v>
      </c>
    </row>
    <row r="37" spans="2:25" x14ac:dyDescent="0.2">
      <c r="B37" s="1">
        <v>32</v>
      </c>
      <c r="C37" s="12" t="s">
        <v>111</v>
      </c>
      <c r="D37" s="9"/>
      <c r="E37" s="10" t="s">
        <v>90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>
        <f t="shared" si="2"/>
        <v>0</v>
      </c>
      <c r="X37" s="9">
        <f t="shared" si="0"/>
        <v>0</v>
      </c>
      <c r="Y37" s="9">
        <f t="shared" si="1"/>
        <v>0</v>
      </c>
    </row>
    <row r="38" spans="2:25" x14ac:dyDescent="0.2">
      <c r="B38" s="1">
        <v>33</v>
      </c>
      <c r="C38" s="13" t="s">
        <v>40</v>
      </c>
      <c r="D38" s="9"/>
      <c r="E38" s="10" t="s">
        <v>91</v>
      </c>
      <c r="F38" s="9"/>
      <c r="G38" s="9" t="s">
        <v>112</v>
      </c>
      <c r="H38" s="9" t="s">
        <v>112</v>
      </c>
      <c r="I38" s="9" t="s">
        <v>112</v>
      </c>
      <c r="J38" s="9" t="s">
        <v>112</v>
      </c>
      <c r="K38" s="9" t="s">
        <v>112</v>
      </c>
      <c r="L38" s="9" t="s">
        <v>112</v>
      </c>
      <c r="M38" s="9" t="s">
        <v>112</v>
      </c>
      <c r="N38" s="9" t="s">
        <v>112</v>
      </c>
      <c r="O38" s="9" t="s">
        <v>112</v>
      </c>
      <c r="P38" s="9" t="s">
        <v>112</v>
      </c>
      <c r="Q38" s="9" t="s">
        <v>112</v>
      </c>
      <c r="R38" s="9"/>
      <c r="S38" s="9"/>
      <c r="T38" s="9"/>
      <c r="U38" s="9"/>
      <c r="V38" s="9"/>
      <c r="W38" s="9">
        <f t="shared" si="2"/>
        <v>11</v>
      </c>
      <c r="X38" s="9">
        <f t="shared" si="0"/>
        <v>0</v>
      </c>
      <c r="Y38" s="9">
        <f t="shared" si="1"/>
        <v>0</v>
      </c>
    </row>
    <row r="39" spans="2:25" s="22" customFormat="1" x14ac:dyDescent="0.2">
      <c r="B39" s="20">
        <v>34</v>
      </c>
      <c r="C39" s="13" t="s">
        <v>41</v>
      </c>
      <c r="D39" s="13"/>
      <c r="E39" s="21" t="s">
        <v>92</v>
      </c>
      <c r="F39" s="13"/>
      <c r="G39" s="13" t="s">
        <v>112</v>
      </c>
      <c r="H39" s="13" t="s">
        <v>112</v>
      </c>
      <c r="I39" s="13" t="s">
        <v>112</v>
      </c>
      <c r="J39" s="13" t="s">
        <v>112</v>
      </c>
      <c r="K39" s="13" t="s">
        <v>112</v>
      </c>
      <c r="L39" s="13" t="s">
        <v>112</v>
      </c>
      <c r="M39" s="13" t="s">
        <v>112</v>
      </c>
      <c r="N39" s="13" t="s">
        <v>112</v>
      </c>
      <c r="O39" s="13" t="s">
        <v>119</v>
      </c>
      <c r="P39" s="13" t="s">
        <v>119</v>
      </c>
      <c r="Q39" s="13" t="s">
        <v>112</v>
      </c>
      <c r="R39" s="13"/>
      <c r="S39" s="13"/>
      <c r="T39" s="13"/>
      <c r="U39" s="13"/>
      <c r="V39" s="13"/>
      <c r="W39" s="13">
        <f t="shared" si="2"/>
        <v>9</v>
      </c>
      <c r="X39" s="13">
        <f t="shared" si="0"/>
        <v>0</v>
      </c>
      <c r="Y39" s="9">
        <f t="shared" si="1"/>
        <v>2</v>
      </c>
    </row>
    <row r="40" spans="2:25" x14ac:dyDescent="0.2">
      <c r="B40" s="1">
        <v>35</v>
      </c>
      <c r="C40" s="9" t="s">
        <v>42</v>
      </c>
      <c r="D40" s="9"/>
      <c r="E40" s="10" t="s">
        <v>93</v>
      </c>
      <c r="F40" s="9"/>
      <c r="G40" s="9" t="s">
        <v>113</v>
      </c>
      <c r="H40" s="9" t="s">
        <v>112</v>
      </c>
      <c r="I40" s="9" t="s">
        <v>112</v>
      </c>
      <c r="J40" s="9" t="s">
        <v>112</v>
      </c>
      <c r="K40" s="9" t="s">
        <v>112</v>
      </c>
      <c r="L40" s="9" t="s">
        <v>112</v>
      </c>
      <c r="M40" s="9" t="s">
        <v>112</v>
      </c>
      <c r="N40" s="9" t="s">
        <v>112</v>
      </c>
      <c r="O40" s="9" t="s">
        <v>112</v>
      </c>
      <c r="P40" s="9" t="s">
        <v>112</v>
      </c>
      <c r="Q40" s="9" t="s">
        <v>112</v>
      </c>
      <c r="R40" s="9"/>
      <c r="S40" s="9"/>
      <c r="T40" s="9"/>
      <c r="U40" s="9"/>
      <c r="V40" s="9"/>
      <c r="W40" s="9">
        <f t="shared" si="2"/>
        <v>10</v>
      </c>
      <c r="X40" s="9">
        <f t="shared" si="0"/>
        <v>1</v>
      </c>
      <c r="Y40" s="9">
        <f t="shared" si="1"/>
        <v>0</v>
      </c>
    </row>
    <row r="41" spans="2:25" x14ac:dyDescent="0.2">
      <c r="B41" s="1">
        <v>36</v>
      </c>
      <c r="C41" s="12" t="s">
        <v>43</v>
      </c>
      <c r="D41" s="9"/>
      <c r="E41" s="10" t="s">
        <v>94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>
        <f t="shared" si="2"/>
        <v>0</v>
      </c>
      <c r="X41" s="9">
        <f t="shared" si="0"/>
        <v>0</v>
      </c>
      <c r="Y41" s="9">
        <f t="shared" si="1"/>
        <v>0</v>
      </c>
    </row>
    <row r="42" spans="2:25" x14ac:dyDescent="0.2">
      <c r="B42" s="1">
        <v>37</v>
      </c>
      <c r="C42" s="12" t="s">
        <v>44</v>
      </c>
      <c r="D42" s="9"/>
      <c r="E42" s="10" t="s">
        <v>95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f t="shared" si="2"/>
        <v>0</v>
      </c>
      <c r="X42" s="9">
        <f t="shared" si="0"/>
        <v>0</v>
      </c>
      <c r="Y42" s="9">
        <f t="shared" si="1"/>
        <v>0</v>
      </c>
    </row>
    <row r="43" spans="2:25" x14ac:dyDescent="0.2">
      <c r="B43" s="1">
        <v>38</v>
      </c>
      <c r="C43" s="12" t="s">
        <v>45</v>
      </c>
      <c r="D43" s="9"/>
      <c r="E43" s="10" t="s">
        <v>96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>
        <f t="shared" si="2"/>
        <v>0</v>
      </c>
      <c r="X43" s="9">
        <f t="shared" si="0"/>
        <v>0</v>
      </c>
      <c r="Y43" s="9">
        <f t="shared" si="1"/>
        <v>0</v>
      </c>
    </row>
    <row r="44" spans="2:25" x14ac:dyDescent="0.2">
      <c r="B44" s="1">
        <v>39</v>
      </c>
      <c r="C44" s="13" t="s">
        <v>46</v>
      </c>
      <c r="D44" s="9"/>
      <c r="E44" s="10" t="s">
        <v>97</v>
      </c>
      <c r="F44" s="9"/>
      <c r="G44" s="3" t="s">
        <v>113</v>
      </c>
      <c r="H44" s="3" t="s">
        <v>113</v>
      </c>
      <c r="I44" s="3" t="s">
        <v>113</v>
      </c>
      <c r="J44" s="3" t="s">
        <v>113</v>
      </c>
      <c r="K44" s="3" t="s">
        <v>113</v>
      </c>
      <c r="L44" s="9" t="s">
        <v>113</v>
      </c>
      <c r="M44" s="9" t="s">
        <v>113</v>
      </c>
      <c r="N44" s="9" t="s">
        <v>112</v>
      </c>
      <c r="O44" s="9" t="s">
        <v>112</v>
      </c>
      <c r="P44" s="9" t="s">
        <v>112</v>
      </c>
      <c r="Q44" s="9" t="s">
        <v>112</v>
      </c>
      <c r="R44" s="9"/>
      <c r="S44" s="9"/>
      <c r="T44" s="9"/>
      <c r="U44" s="9"/>
      <c r="V44" s="9"/>
      <c r="W44" s="9">
        <f t="shared" si="2"/>
        <v>4</v>
      </c>
      <c r="X44" s="9">
        <f t="shared" si="0"/>
        <v>7</v>
      </c>
      <c r="Y44" s="9">
        <f t="shared" si="1"/>
        <v>0</v>
      </c>
    </row>
    <row r="45" spans="2:25" x14ac:dyDescent="0.2">
      <c r="B45" s="1">
        <v>40</v>
      </c>
      <c r="C45" s="13" t="s">
        <v>47</v>
      </c>
      <c r="D45" s="9"/>
      <c r="E45" s="10" t="s">
        <v>98</v>
      </c>
      <c r="F45" s="9"/>
      <c r="G45" s="9" t="s">
        <v>113</v>
      </c>
      <c r="H45" s="9" t="s">
        <v>113</v>
      </c>
      <c r="I45" s="9" t="s">
        <v>113</v>
      </c>
      <c r="J45" s="9" t="s">
        <v>113</v>
      </c>
      <c r="K45" s="9" t="s">
        <v>113</v>
      </c>
      <c r="L45" s="9" t="s">
        <v>112</v>
      </c>
      <c r="M45" s="9" t="s">
        <v>112</v>
      </c>
      <c r="N45" s="9" t="s">
        <v>112</v>
      </c>
      <c r="O45" s="9" t="s">
        <v>112</v>
      </c>
      <c r="P45" s="9" t="s">
        <v>112</v>
      </c>
      <c r="Q45" s="9" t="s">
        <v>112</v>
      </c>
      <c r="R45" s="9"/>
      <c r="S45" s="9"/>
      <c r="T45" s="9"/>
      <c r="U45" s="9"/>
      <c r="V45" s="9"/>
      <c r="W45" s="9">
        <f>COUNTIF(G45:V45,"P")</f>
        <v>6</v>
      </c>
      <c r="X45" s="9">
        <f>COUNTIF(G45:V45,"A")</f>
        <v>5</v>
      </c>
      <c r="Y45" s="9">
        <f t="shared" si="1"/>
        <v>0</v>
      </c>
    </row>
    <row r="46" spans="2:25" x14ac:dyDescent="0.2">
      <c r="B46" s="1">
        <v>41</v>
      </c>
      <c r="C46" s="12" t="s">
        <v>48</v>
      </c>
      <c r="D46" s="9"/>
      <c r="E46" s="10" t="s">
        <v>99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>
        <f t="shared" si="2"/>
        <v>0</v>
      </c>
      <c r="X46" s="9">
        <f t="shared" si="0"/>
        <v>0</v>
      </c>
      <c r="Y46" s="9">
        <f t="shared" si="1"/>
        <v>0</v>
      </c>
    </row>
    <row r="47" spans="2:25" x14ac:dyDescent="0.2">
      <c r="B47" s="1">
        <v>42</v>
      </c>
      <c r="C47" s="13" t="s">
        <v>49</v>
      </c>
      <c r="D47" s="9"/>
      <c r="E47" s="10" t="s">
        <v>100</v>
      </c>
      <c r="F47" s="9"/>
      <c r="G47" s="9" t="s">
        <v>112</v>
      </c>
      <c r="H47" s="9" t="s">
        <v>112</v>
      </c>
      <c r="I47" s="9" t="s">
        <v>112</v>
      </c>
      <c r="J47" s="9" t="s">
        <v>112</v>
      </c>
      <c r="K47" s="9" t="s">
        <v>112</v>
      </c>
      <c r="L47" s="9" t="s">
        <v>112</v>
      </c>
      <c r="M47" s="9" t="s">
        <v>112</v>
      </c>
      <c r="N47" s="9" t="s">
        <v>112</v>
      </c>
      <c r="O47" s="9" t="s">
        <v>112</v>
      </c>
      <c r="P47" s="9" t="s">
        <v>112</v>
      </c>
      <c r="Q47" s="9" t="s">
        <v>112</v>
      </c>
      <c r="R47" s="9"/>
      <c r="S47" s="9"/>
      <c r="T47" s="9"/>
      <c r="U47" s="9"/>
      <c r="V47" s="9"/>
      <c r="W47" s="9">
        <f t="shared" si="2"/>
        <v>11</v>
      </c>
      <c r="X47" s="9">
        <f t="shared" si="0"/>
        <v>0</v>
      </c>
      <c r="Y47" s="9">
        <f t="shared" si="1"/>
        <v>0</v>
      </c>
    </row>
    <row r="48" spans="2:25" x14ac:dyDescent="0.2">
      <c r="B48" s="1">
        <v>43</v>
      </c>
      <c r="C48" s="9" t="s">
        <v>50</v>
      </c>
      <c r="D48" s="9"/>
      <c r="E48" s="10" t="s">
        <v>101</v>
      </c>
      <c r="F48" s="9"/>
      <c r="G48" s="9" t="s">
        <v>113</v>
      </c>
      <c r="H48" s="9" t="s">
        <v>113</v>
      </c>
      <c r="I48" s="9" t="s">
        <v>113</v>
      </c>
      <c r="J48" s="9" t="s">
        <v>113</v>
      </c>
      <c r="K48" s="9" t="s">
        <v>113</v>
      </c>
      <c r="L48" s="9" t="s">
        <v>113</v>
      </c>
      <c r="M48" s="9" t="s">
        <v>113</v>
      </c>
      <c r="N48" s="9" t="s">
        <v>113</v>
      </c>
      <c r="O48" s="9" t="s">
        <v>112</v>
      </c>
      <c r="P48" s="9" t="s">
        <v>112</v>
      </c>
      <c r="Q48" s="9" t="s">
        <v>112</v>
      </c>
      <c r="R48" s="9"/>
      <c r="S48" s="9"/>
      <c r="T48" s="9"/>
      <c r="U48" s="9"/>
      <c r="V48" s="9"/>
      <c r="W48" s="9">
        <f t="shared" si="2"/>
        <v>3</v>
      </c>
      <c r="X48" s="9">
        <f t="shared" si="0"/>
        <v>8</v>
      </c>
      <c r="Y48" s="9">
        <f t="shared" si="1"/>
        <v>0</v>
      </c>
    </row>
    <row r="49" spans="2:25" x14ac:dyDescent="0.2">
      <c r="B49" s="1">
        <v>44</v>
      </c>
      <c r="C49" s="12" t="s">
        <v>51</v>
      </c>
      <c r="D49" s="9"/>
      <c r="E49" s="10" t="s">
        <v>102</v>
      </c>
      <c r="F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>
        <f t="shared" si="2"/>
        <v>0</v>
      </c>
      <c r="X49" s="9">
        <f t="shared" si="0"/>
        <v>0</v>
      </c>
      <c r="Y49" s="9">
        <f t="shared" si="1"/>
        <v>0</v>
      </c>
    </row>
    <row r="50" spans="2:25" x14ac:dyDescent="0.2">
      <c r="B50" s="1">
        <v>45</v>
      </c>
      <c r="C50" s="9" t="s">
        <v>52</v>
      </c>
      <c r="D50" s="9"/>
      <c r="E50" s="10" t="s">
        <v>103</v>
      </c>
      <c r="F50" s="9"/>
      <c r="G50" s="9" t="s">
        <v>113</v>
      </c>
      <c r="H50" s="9" t="s">
        <v>113</v>
      </c>
      <c r="I50" s="9" t="s">
        <v>113</v>
      </c>
      <c r="J50" s="9" t="s">
        <v>113</v>
      </c>
      <c r="K50" s="9" t="s">
        <v>112</v>
      </c>
      <c r="L50" s="9" t="s">
        <v>112</v>
      </c>
      <c r="M50" s="9" t="s">
        <v>112</v>
      </c>
      <c r="N50" s="9" t="s">
        <v>112</v>
      </c>
      <c r="O50" s="9" t="s">
        <v>112</v>
      </c>
      <c r="P50" s="9" t="s">
        <v>112</v>
      </c>
      <c r="Q50" s="9" t="s">
        <v>112</v>
      </c>
      <c r="R50" s="9"/>
      <c r="S50" s="9"/>
      <c r="T50" s="9"/>
      <c r="U50" s="9"/>
      <c r="V50" s="9"/>
      <c r="W50" s="9">
        <f>COUNTIF(G50:V50,"P")</f>
        <v>7</v>
      </c>
      <c r="X50" s="9">
        <f>COUNTIF(G50:V50,"A")</f>
        <v>4</v>
      </c>
      <c r="Y50" s="9">
        <f t="shared" si="1"/>
        <v>0</v>
      </c>
    </row>
    <row r="51" spans="2:25" x14ac:dyDescent="0.2">
      <c r="B51" s="1">
        <v>46</v>
      </c>
      <c r="C51" s="9" t="s">
        <v>53</v>
      </c>
      <c r="D51" s="9"/>
      <c r="E51" s="10" t="s">
        <v>104</v>
      </c>
      <c r="F51" s="9"/>
      <c r="G51" s="9" t="s">
        <v>113</v>
      </c>
      <c r="H51" s="9" t="s">
        <v>113</v>
      </c>
      <c r="I51" s="9" t="s">
        <v>113</v>
      </c>
      <c r="J51" s="9" t="s">
        <v>113</v>
      </c>
      <c r="K51" s="9" t="s">
        <v>112</v>
      </c>
      <c r="L51" s="9" t="s">
        <v>112</v>
      </c>
      <c r="M51" s="9" t="s">
        <v>112</v>
      </c>
      <c r="N51" s="9" t="s">
        <v>112</v>
      </c>
      <c r="O51" s="9" t="s">
        <v>112</v>
      </c>
      <c r="P51" s="9" t="s">
        <v>112</v>
      </c>
      <c r="Q51" s="9" t="s">
        <v>112</v>
      </c>
      <c r="R51" s="9"/>
      <c r="S51" s="9"/>
      <c r="T51" s="9"/>
      <c r="U51" s="9"/>
      <c r="V51" s="9"/>
      <c r="W51" s="9">
        <f t="shared" si="2"/>
        <v>7</v>
      </c>
      <c r="X51" s="9">
        <f t="shared" si="0"/>
        <v>4</v>
      </c>
      <c r="Y51" s="9">
        <f t="shared" si="1"/>
        <v>0</v>
      </c>
    </row>
    <row r="52" spans="2:25" x14ac:dyDescent="0.2">
      <c r="B52" s="1">
        <v>47</v>
      </c>
      <c r="C52" s="9" t="s">
        <v>54</v>
      </c>
      <c r="D52" s="9"/>
      <c r="E52" s="10" t="s">
        <v>105</v>
      </c>
      <c r="F52" s="9"/>
      <c r="G52" s="9" t="s">
        <v>113</v>
      </c>
      <c r="H52" s="9" t="s">
        <v>113</v>
      </c>
      <c r="I52" s="9" t="s">
        <v>113</v>
      </c>
      <c r="J52" s="9" t="s">
        <v>113</v>
      </c>
      <c r="K52" s="9" t="s">
        <v>113</v>
      </c>
      <c r="L52" s="9" t="s">
        <v>113</v>
      </c>
      <c r="M52" s="9" t="s">
        <v>113</v>
      </c>
      <c r="N52" s="9" t="s">
        <v>113</v>
      </c>
      <c r="O52" s="9" t="s">
        <v>112</v>
      </c>
      <c r="P52" s="9" t="s">
        <v>112</v>
      </c>
      <c r="Q52" s="9" t="s">
        <v>112</v>
      </c>
      <c r="R52" s="9"/>
      <c r="S52" s="9"/>
      <c r="T52" s="9"/>
      <c r="U52" s="9"/>
      <c r="V52" s="9"/>
      <c r="W52" s="9">
        <f t="shared" si="2"/>
        <v>3</v>
      </c>
      <c r="X52" s="9">
        <f t="shared" si="0"/>
        <v>8</v>
      </c>
      <c r="Y52" s="9">
        <f t="shared" si="1"/>
        <v>0</v>
      </c>
    </row>
    <row r="53" spans="2:25" x14ac:dyDescent="0.2">
      <c r="B53" s="1">
        <v>48</v>
      </c>
      <c r="C53" s="12" t="s">
        <v>55</v>
      </c>
      <c r="D53" s="9"/>
      <c r="E53" s="10" t="s">
        <v>106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>
        <f t="shared" si="2"/>
        <v>0</v>
      </c>
      <c r="X53" s="9">
        <f t="shared" si="0"/>
        <v>0</v>
      </c>
      <c r="Y53" s="9">
        <f t="shared" si="1"/>
        <v>0</v>
      </c>
    </row>
    <row r="54" spans="2:25" x14ac:dyDescent="0.2">
      <c r="B54" s="1">
        <v>49</v>
      </c>
      <c r="C54" s="12" t="s">
        <v>56</v>
      </c>
      <c r="D54" s="9"/>
      <c r="E54" s="10" t="s">
        <v>107</v>
      </c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>
        <f t="shared" si="2"/>
        <v>0</v>
      </c>
      <c r="X54" s="9">
        <f t="shared" si="0"/>
        <v>0</v>
      </c>
      <c r="Y54" s="9">
        <f t="shared" si="1"/>
        <v>0</v>
      </c>
    </row>
    <row r="55" spans="2:25" x14ac:dyDescent="0.2">
      <c r="B55" s="1">
        <v>50</v>
      </c>
      <c r="C55" s="9" t="s">
        <v>57</v>
      </c>
      <c r="D55" s="9"/>
      <c r="E55" s="10" t="s">
        <v>108</v>
      </c>
      <c r="F55" s="9"/>
      <c r="G55" s="9" t="s">
        <v>113</v>
      </c>
      <c r="H55" s="9" t="s">
        <v>113</v>
      </c>
      <c r="I55" s="9" t="s">
        <v>113</v>
      </c>
      <c r="J55" s="9" t="s">
        <v>113</v>
      </c>
      <c r="K55" s="9" t="s">
        <v>113</v>
      </c>
      <c r="L55" s="9" t="s">
        <v>113</v>
      </c>
      <c r="M55" s="9" t="s">
        <v>113</v>
      </c>
      <c r="N55" s="9" t="s">
        <v>112</v>
      </c>
      <c r="O55" s="9" t="s">
        <v>112</v>
      </c>
      <c r="P55" s="9" t="s">
        <v>112</v>
      </c>
      <c r="Q55" s="9" t="s">
        <v>113</v>
      </c>
      <c r="R55" s="9"/>
      <c r="S55" s="9"/>
      <c r="T55" s="9"/>
      <c r="U55" s="9"/>
      <c r="V55" s="9"/>
      <c r="W55" s="9">
        <f t="shared" si="2"/>
        <v>3</v>
      </c>
      <c r="X55" s="9">
        <f t="shared" si="0"/>
        <v>8</v>
      </c>
      <c r="Y55" s="9">
        <f t="shared" si="1"/>
        <v>0</v>
      </c>
    </row>
    <row r="56" spans="2:25" x14ac:dyDescent="0.2">
      <c r="B56" s="1">
        <v>51</v>
      </c>
      <c r="C56" s="12" t="s">
        <v>58</v>
      </c>
      <c r="D56" s="9"/>
      <c r="E56" s="10" t="s">
        <v>109</v>
      </c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>
        <f t="shared" si="2"/>
        <v>0</v>
      </c>
      <c r="X56" s="9">
        <f t="shared" si="0"/>
        <v>0</v>
      </c>
      <c r="Y56" s="9">
        <f t="shared" si="1"/>
        <v>0</v>
      </c>
    </row>
    <row r="57" spans="2:25" x14ac:dyDescent="0.2">
      <c r="B57" s="1">
        <v>52</v>
      </c>
      <c r="C57" s="9" t="s">
        <v>114</v>
      </c>
      <c r="D57" s="9"/>
      <c r="E57" s="10" t="s">
        <v>115</v>
      </c>
      <c r="F57" s="9"/>
      <c r="G57" s="9" t="s">
        <v>113</v>
      </c>
      <c r="H57" s="9" t="s">
        <v>113</v>
      </c>
      <c r="I57" s="9" t="s">
        <v>113</v>
      </c>
      <c r="J57" s="9" t="s">
        <v>113</v>
      </c>
      <c r="K57" s="9" t="s">
        <v>113</v>
      </c>
      <c r="L57" s="9" t="s">
        <v>113</v>
      </c>
      <c r="M57" s="9" t="s">
        <v>113</v>
      </c>
      <c r="N57" s="9" t="s">
        <v>112</v>
      </c>
      <c r="O57" s="9" t="s">
        <v>112</v>
      </c>
      <c r="P57" s="9" t="s">
        <v>112</v>
      </c>
      <c r="Q57" s="9" t="s">
        <v>113</v>
      </c>
      <c r="R57" s="9"/>
      <c r="S57" s="9"/>
      <c r="T57" s="9"/>
      <c r="U57" s="9"/>
      <c r="V57" s="9"/>
      <c r="W57" s="9">
        <f t="shared" si="2"/>
        <v>3</v>
      </c>
      <c r="X57" s="9">
        <f t="shared" si="0"/>
        <v>8</v>
      </c>
      <c r="Y57" s="9">
        <f t="shared" si="1"/>
        <v>0</v>
      </c>
    </row>
    <row r="58" spans="2:25" x14ac:dyDescent="0.2">
      <c r="B58" s="1">
        <v>53</v>
      </c>
      <c r="C58" s="9" t="s">
        <v>116</v>
      </c>
      <c r="D58" s="9"/>
      <c r="E58" s="9">
        <v>301065672</v>
      </c>
      <c r="F58" s="9"/>
      <c r="G58" s="9" t="s">
        <v>113</v>
      </c>
      <c r="H58" s="9" t="s">
        <v>113</v>
      </c>
      <c r="I58" s="9" t="s">
        <v>113</v>
      </c>
      <c r="J58" s="9" t="s">
        <v>113</v>
      </c>
      <c r="K58" s="9" t="s">
        <v>113</v>
      </c>
      <c r="L58" s="9" t="s">
        <v>113</v>
      </c>
      <c r="M58" s="9" t="s">
        <v>112</v>
      </c>
      <c r="N58" s="9" t="s">
        <v>112</v>
      </c>
      <c r="O58" s="9" t="s">
        <v>112</v>
      </c>
      <c r="P58" s="9" t="s">
        <v>112</v>
      </c>
      <c r="Q58" s="9" t="s">
        <v>113</v>
      </c>
      <c r="R58" s="9"/>
      <c r="S58" s="9"/>
      <c r="T58" s="9"/>
      <c r="U58" s="9"/>
      <c r="V58" s="9"/>
      <c r="W58" s="9">
        <f t="shared" si="2"/>
        <v>4</v>
      </c>
      <c r="X58" s="9">
        <f t="shared" si="0"/>
        <v>7</v>
      </c>
      <c r="Y58" s="9">
        <f t="shared" si="1"/>
        <v>0</v>
      </c>
    </row>
    <row r="59" spans="2:25" ht="15" x14ac:dyDescent="0.25">
      <c r="B59" s="19" t="s">
        <v>117</v>
      </c>
      <c r="C59" s="19"/>
      <c r="G59" s="8">
        <f>COUNTIF(G6:G58,"P")</f>
        <v>22</v>
      </c>
      <c r="H59" s="8">
        <f t="shared" ref="H59:P59" si="3">COUNTIF(H6:H58,"P")</f>
        <v>28</v>
      </c>
      <c r="I59" s="8">
        <f t="shared" si="3"/>
        <v>29</v>
      </c>
      <c r="J59" s="8">
        <f t="shared" si="3"/>
        <v>29</v>
      </c>
      <c r="K59" s="8">
        <f t="shared" si="3"/>
        <v>31</v>
      </c>
      <c r="L59" s="8">
        <f t="shared" si="3"/>
        <v>32</v>
      </c>
      <c r="M59" s="8">
        <f t="shared" si="3"/>
        <v>33</v>
      </c>
      <c r="N59" s="8">
        <f t="shared" si="3"/>
        <v>36</v>
      </c>
      <c r="O59" s="8">
        <f t="shared" si="3"/>
        <v>35</v>
      </c>
      <c r="P59" s="8">
        <f t="shared" si="3"/>
        <v>35</v>
      </c>
      <c r="Q59" s="8">
        <f t="shared" ref="Q59" si="4">COUNTIF(Q6:Q58,"P")</f>
        <v>34</v>
      </c>
      <c r="R59" s="8">
        <f t="shared" ref="R59" si="5">COUNTIF(R6:R58,"P")</f>
        <v>0</v>
      </c>
      <c r="S59" s="8">
        <f t="shared" ref="S59" si="6">COUNTIF(S6:S58,"P")</f>
        <v>0</v>
      </c>
      <c r="T59" s="8">
        <f t="shared" ref="T59" si="7">COUNTIF(T6:T58,"P")</f>
        <v>0</v>
      </c>
      <c r="U59" s="8">
        <f t="shared" ref="U59" si="8">COUNTIF(U6:U58,"P")</f>
        <v>0</v>
      </c>
      <c r="V59" s="8">
        <f t="shared" ref="V59" si="9">COUNTIF(V6:V58,"P")</f>
        <v>0</v>
      </c>
    </row>
  </sheetData>
  <mergeCells count="3">
    <mergeCell ref="G2:V3"/>
    <mergeCell ref="D2:F3"/>
    <mergeCell ref="B59:C5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2025-11-15T06:24:29Z</dcterms:modified>
</cp:coreProperties>
</file>